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Executive Summary" sheetId="1" r:id="rIdSheet1"/>
    <sheet name="AMT103-V (360° Turns)" sheetId="2" r:id="rIdSheet2"/>
    <sheet name="Bourns PEC11R (360° Turns)" sheetId="3" r:id="rIdSheet3"/>
    <sheet name="Master 60-Run Log" sheetId="4" r:id="rIdSheet4"/>
  </sheets>
</workbook>
</file>

<file path=xl/styles.xml><?xml version="1.0" encoding="utf-8"?>
<styleSheet xmlns="http://schemas.openxmlformats.org/spreadsheetml/2006/main">
  <numFmts count="3">
    <numFmt numFmtId="164" formatCode="#,##0"/>
    <numFmt numFmtId="165" formatCode="#,##0.00"/>
    <numFmt numFmtId="166" formatCode="+0.00%;-0.00%;0.00%"/>
  </numFmts>
  <fonts count="7">
    <!-- 0: Regular Calibri 11 -->
    <font>
      <sz val="11"/>
      <color rgb="000000"/>
      <name val="Calibri"/>
    </font>
    <!-- 1: Bold Calibri 11 -->
    <font>
      <b/>
      <sz val="11"/>
      <color rgb="000000"/>
      <name val="Calibri"/>
    </font>
    <!-- 2: Title Bold Calibri 15 -->
    <font>
      <b/>
      <sz val="15"/>
      <color rgb="1F4E79"/>
      <name val="Calibri"/>
    </font>
    <!-- 3: Subtitle Calibri 10 Italic -->
    <font>
      <i/>
      <sz val="10"/>
      <color rgb="595959"/>
      <name val="Calibri"/>
    </font>
    <!-- 4: Header Bold White 11 -->
    <font>
      <b/>
      <sz val="11"/>
      <color rgb="FFFFFF"/>
      <name val="Calibri"/>
    </font>
    <!-- 5: Section Header Bold 12 -->
    <font>
      <b/>
      <sz val="12"/>
      <color rgb="1F4E79"/>
      <name val="Calibri"/>
    </font>
    <!-- 6: Italic Calibri 11 -->
    <font>
      <i/>
      <sz val="11"/>
      <color rgb="000000"/>
      <name val="Calibri"/>
    </font>
  </fonts>
  <fills count="8">
    <fill>
      <patternFill patternType="none"/>
    </fill>
    <fill>
      <patternFill patternType="gray125"/>
    </fill>
    <!-- 2: Dark Navy Header #1F4E79 -->
    <fill>
      <patternFill patternType="solid">
        <fgColor rgb="1F4E79"/>
        <bgColor indexed="64"/>
      </patternFill>
    </fill>
    <!-- 3: Steel Blue Subheader #2E75B6 -->
    <fill>
      <patternFill patternType="solid">
        <fgColor rgb="2E75B6"/>
        <bgColor indexed="64"/>
      </patternFill>
    </fill>
    <!-- 4: Total Row Soft Blue #DDEBF7 -->
    <fill>
      <patternFill patternType="solid">
        <fgColor rgb="DDEBF7"/>
        <bgColor indexed="64"/>
      </patternFill>
    </fill>
    <!-- 5: Zebra Row Light Gray #F2F4F7 -->
    <fill>
      <patternFill patternType="solid">
        <fgColor rgb="F2F4F7"/>
        <bgColor indexed="64"/>
      </patternFill>
    </fill>
    <!-- 6: Soft Green Highlight #E2EFDA -->
    <fill>
      <patternFill patternType="solid">
        <fgColor rgb="E2EFDA"/>
        <bgColor indexed="64"/>
      </patternFill>
    </fill>
    <!-- 7: Soft Yellow Highlight #FFF2CC -->
    <fill>
      <patternFill patternType="solid">
        <fgColor rgb="FFF2CC"/>
        <bgColor indexed="64"/>
      </patternFill>
    </fill>
  </fills>
  <borders count="4">
    <!-- 0: None -->
    <border>
      <left/>
      <right/>
      <top/>
      <bottom/>
    </border>
    <!-- 1: Thin Gray Grid -->
    <border>
      <left style="thin">
        <color rgb="D9D9D9"/>
      </left>
      <right style="thin">
        <color rgb="D9D9D9"/>
      </right>
      <top style="thin">
        <color rgb="D9D9D9"/>
      </top>
      <bottom style="thin">
        <color rgb="D9D9D9"/>
      </bottom>
    </border>
    <!-- 2: Accounting Summary: Top Thin, Bottom Double -->
    <border>
      <left style="thin">
        <color rgb="D9D9D9"/>
      </left>
      <right style="thin">
        <color rgb="D9D9D9"/>
      </right>
      <top style="thin">
        <color rgb="000000"/>
      </top>
      <bottom style="double">
        <color rgb="000000"/>
      </bottom>
    </border>
    <!-- 3: Subtotal Top Thin, Bottom Thin -->
    <border>
      <left style="thin">
        <color rgb="D9D9D9"/>
      </left>
      <right style="thin">
        <color rgb="D9D9D9"/>
      </right>
      <top style="thin">
        <color rgb="000000"/>
      </top>
      <bottom style="thin">
        <color rgb="000000"/>
      </bottom>
    </border>
  </borders>
  <cellStyleXfs count="1">
    <xf numFmtId="0" fontId="0" fillId="0" borderId="0"/>
  </cellStyleXfs>
  <cellXfs count="30">
    <!-- 0: Default standard text -->
    <xf numFmtId="0" fontId="0" fillId="0" borderId="0" xfId="0"/>
    <!-- 1: Title (Sheet Header) -->
    <xf numFmtId="0" fontId="2" fillId="0" borderId="0" xfId="0" applyFont="1"/>
    <!-- 2: Subtitle / Italic Note -->
    <xf numFmtId="0" fontId="3" fillId="0" borderId="0" xfId="0" applyFont="1"/>
    <!-- 3: Table Header Dark Navy (Centered, White text, bordered) -->
    <xf numFmtId="0" fontId="4" fillId="2" borderId="1" xfId="0" applyFont="1" applyFill="1" applyBorder="1" applyAlignment="1">
      <alignment horizontal="center" vertical="center" wrapText="1"/>
    </xf>
    <!-- 4: Table Header Steel Blue (Centered, White text, bordered) -->
    <xf numFmtId="0" fontId="4" fillId="3" borderId="1" xfId="0" applyFont="1" applyFill="1" applyBorder="1" applyAlignment="1">
      <alignment horizontal="center" vertical="center" wrapText="1"/>
    </xf>
    <!-- 5: Regular Text Left (Bordered) -->
    <xf numFmtId="0" fontId="0" fillId="0" borderId="1" xfId="0" applyBorder="1" applyAlignment="1">
      <alignment horizontal="left" vertical="center"/>
    </xf>
    <!-- 6: Regular Text Center (Bordered) -->
    <xf numFmtId="0" fontId="0" fillId="0" borderId="1" xfId="0" applyBorder="1" applyAlignment="1">
      <alignment horizontal="center" vertical="center"/>
    </xf>
    <!-- 7: Integer Number Right (Bordered, comma separated) -->
    <xf numFmtId="164" fontId="0" fillId="0" borderId="1" xfId="0" applyBorder="1" applyAlignment="1">
      <alignment horizontal="right" vertical="center"/>
    </xf>
    <!-- 8: Decimal 2-places Right (Bordered) -->
    <xf numFmtId="165" fontId="0" fillId="0" borderId="1" xfId="0" applyBorder="1" applyAlignment="1">
      <alignment horizontal="right" vertical="center"/>
    </xf>
    <!-- 9: Signed Percentage 2-places Right (Bordered) -->
    <xf numFmtId="166" fontId="0" fillId="0" borderId="1" xfId="0" applyBorder="1" applyAlignment="1">
      <alignment horizontal="right" vertical="center"/>
    </xf>
    <!-- 10: Zebra Row Text Left -->
    <xf numFmtId="0" fontId="0" fillId="5" borderId="1" xfId="0" applyFill="1" applyBorder="1" applyAlignment="1">
      <alignment horizontal="left" vertical="center"/>
    </xf>
    <!-- 11: Zebra Row Text Center -->
    <xf numFmtId="0" fontId="0" fillId="5" borderId="1" xfId="0" applyFill="1" applyBorder="1" applyAlignment="1">
      <alignment horizontal="center" vertical="center"/>
    </xf>
    <!-- 12: Zebra Row Integer -->
    <xf numFmtId="164" fontId="0" fillId="5" borderId="1" xfId="0" applyFill="1" applyBorder="1" applyAlignment="1">
      <alignment horizontal="right" vertical="center"/>
    </xf>
    <!-- 13: Zebra Row Decimal 2-places -->
    <xf numFmtId="165" fontId="0" fillId="5" borderId="1" xfId="0" applyFill="1" applyBorder="1" applyAlignment="1">
      <alignment horizontal="right" vertical="center"/>
    </xf>
    <!-- 14: Zebra Row Signed Percentage -->
    <xf numFmtId="166" fontId="0" fillId="5" borderId="1" xfId="0" applyFill="1" applyBorder="1" applyAlignment="1">
      <alignment horizontal="right" vertical="center"/>
    </xf>
    <!-- 15: Subtotal AVG Row Label (Bold Left, Soft Blue, Thin Border) -->
    <xf numFmtId="0" fontId="1" fillId="4" borderId="3" xfId="0" applyFont="1" applyFill="1" applyBorder="1" applyAlignment="1">
      <alignment horizontal="left" vertical="center"/>
    </xf>
    <!-- 16: Subtotal AVG Row Integer (Bold Right, Soft Blue, Thin Border) -->
    <xf numFmtId="164" fontId="1" fillId="4" borderId="3" xfId="0" applyFont="1" applyFill="1" applyBorder="1" applyAlignment="1">
      <alignment horizontal="right" vertical="center"/>
    </xf>
    <!-- 17: Subtotal AVG Row Decimal (Bold Right, Soft Blue, Thin Border) -->
    <xf numFmtId="165" fontId="1" fillId="4" borderId="3" xfId="0" applyFont="1" applyFill="1" applyBorder="1" applyAlignment="1">
      <alignment horizontal="right" vertical="center"/>
    </xf>
    <!-- 18: Subtotal AVG Row Percentage (Bold Right, Soft Blue, Thin Border) -->
    <xf numFmtId="166" fontId="1" fillId="4" borderId="3" xfId="0" applyFont="1" applyFill="1" applyBorder="1" applyAlignment="1">
      <alignment horizontal="right" vertical="center"/>
    </xf>
    <!-- 19: Green Highlight Badge (Nominal Exact Match) -->
    <xf numFmtId="0" fontId="1" fillId="6" borderId="1" xfId="0" applyFont="1" applyFill="1" applyBorder="1" applyAlignment="1">
      <alignment horizontal="center" vertical="center"/>
    </xf>
    <!-- 20: Section Header (Bold 12pt, left) -->
    <xf numFmtId="0" fontId="5" fillId="0" borderId="0" xfId="0" applyFont="1" applyAlignment="1">
      <alignment horizontal="left" vertical="center"/>
    </xf>
    <!-- 21: Table Header Soft Blue for Master (Centered, Dark Navy text) -->
    <xf numFmtId="0" fontId="1" fillId="4" borderId="1" xfId="0" applyFont="1" applyFill="1" applyBorder="1" applyAlignment="1">
      <alignment horizontal="center" vertical="center" wrapText="1"/>
    </xf>
    <!-- 22: Yellow Highlight Cell (Manual Hand Turn Note) -->
    <xf numFmtId="0" fontId="1" fillId="7" borderId="1" xfId="0" applyFont="1" applyFill="1" applyBorder="1" applyAlignment="1">
      <alignment horizontal="center" vertical="center"/>
    </xf>
    <!-- 23: Bold Number Center (Bordered) -->
    <xf numFmtId="164" fontId="1" fillId="0" borderId="1" xfId="0" applyFont="1" applyBorder="1" applyAlignment="1">
      <alignment horizontal="center" vertical="center"/>
    </xf>
    <!-- 24: Subtotal STDEV Row Label (Italic Left, Soft Blue, Thin Border) -->
    <xf numFmtId="0" fontId="6" fillId="4" borderId="3" xfId="0" applyFont="1" applyFill="1" applyBorder="1" applyAlignment="1">
      <alignment horizontal="left" vertical="center"/>
    </xf>
    <!-- 25: Subtotal STDEV Row Decimal (Italic Right, Soft Blue, Thin Border) -->
    <xf numFmtId="165" fontId="6" fillId="4" borderId="3" xfId="0" applyFont="1" applyFill="1" applyBorder="1" applyAlignment="1">
      <alignment horizontal="right" vertical="center"/>
    </xf>
    <!-- 26: Subtotal STDEV Row Percentage (Italic Right, Soft Blue, Thin Border) -->
    <xf numFmtId="166" fontId="6" fillId="4" borderId="3" xfId="0" applyFont="1" applyFill="1" applyBorder="1" applyAlignment="1">
      <alignment horizontal="right" vertical="center"/>
    </xf>
    <!-- 27: Grand Summary Total Label (Bold Left, Soft Blue, Double Bottom) -->
    <xf numFmtId="0" fontId="1" fillId="4" borderId="2" xfId="0" applyFont="1" applyFill="1" applyBorder="1" applyAlignment="1">
      <alignment horizontal="left" vertical="center"/>
    </xf>
    <!-- 28: Grand Summary Decimal (Bold Right, Soft Blue, Double Bottom) -->
    <xf numFmtId="165" fontId="1" fillId="4" borderId="2" xfId="0" applyFont="1" applyFill="1" applyBorder="1" applyAlignment="1">
      <alignment horizontal="right" vertical="center"/>
    </xf>
    <!-- 29: Grand Summary Percentage (Bold Right, Soft Blue, Double Bottom) -->
    <xf numFmtId="166" fontId="1" fillId="4" borderId="2" xfId="0" applyFont="1" applyFill="1" applyBorder="1" applyAlignment="1">
      <alignment horizontal="right" vertical="center"/>
    </xf>
  </cellXf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Sheet1" Type="http://schemas.openxmlformats.org/officeDocument/2006/relationships/worksheet" Target="worksheets/sheet1.xml"/>
  <Relationship Id="rIdSheet2" Type="http://schemas.openxmlformats.org/officeDocument/2006/relationships/worksheet" Target="worksheets/sheet2.xml"/>
  <Relationship Id="rIdSheet3" Type="http://schemas.openxmlformats.org/officeDocument/2006/relationships/worksheet" Target="worksheets/sheet3.xml"/>
  <Relationship Id="rIdSheet4" Type="http://schemas.openxmlformats.org/officeDocument/2006/relationships/worksheet" Target="worksheets/sheet4.xml"/>
</Relationships>
</file>

<file path=xl/worksheets/sheet1.xml><?xml version="1.0" encoding="utf-8"?>
<worksheet xmlns="http://schemas.openxmlformats.org/spreadsheetml/2006/main">
  <cols>
    <col min="1" max="1" width="20" customWidth="1"/>
    <col min="2" max="2" width="8" customWidth="1"/>
    <col min="3" max="3" width="10" customWidth="1"/>
    <col min="4" max="4" width="14" customWidth="1"/>
    <col min="5" max="5" width="14" customWidth="1"/>
    <col min="6" max="6" width="18" customWidth="1"/>
    <col min="7" max="7" width="18" customWidth="1"/>
    <col min="8" max="8" width="12" customWidth="1"/>
    <col min="9" max="9" width="12" customWidth="1"/>
    <col min="10" max="10" width="16" customWidth="1"/>
    <col min="11" max="11" width="16" customWidth="1"/>
    <col min="12" max="12" width="18" customWidth="1"/>
    <col min="13" max="13" width="16" customWidth="1"/>
    <col min="14" max="14" width="16" customWidth="1"/>
    <col min="15" max="15" width="22" customWidth="1"/>
    <col min="16" max="16" width="45" customWidth="1"/>
  </cols>
  <sheetData>
    <row r="1" ht="28" customHeight="1">
      <c r="A1" s="1" t="inlineStr">
        <is>
          <t>INCREMENTAL ENCODER 360° REVOLUTION &amp; PPR COMPARISON REPORT</t>
        </is>
      </c>
    </row>
    <row r="2" ht="18" customHeight="1">
      <c r="A2" s="2" t="inlineStr">
        <is>
          <t>Comprehensive statistical evaluation and Pulses Per Revolution (PPR) determination across AMT103-V and Bourns PEC11R</t>
        </is>
      </c>
    </row>
    <row r="3" ht="10" customHeight="1">
    </row>
    <row r="4" ht="22" customHeight="1">
      <c r="A4" s="20" t="inlineStr">
        <is>
          <t>1. Hardware Specifications &amp; Operating Principles</t>
        </is>
      </c>
    </row>
    <row r="5" ht="24" customHeight="1">
      <c r="A5" s="3" t="inlineStr">
        <is>
          <t>Specification / Feature</t>
        </is>
      </c>
      <c r="B5" s="3" t="inlineStr">
        <is>
          <t>AMT103-V (Capacitive Modular)</t>
        </is>
      </c>
      <c r="C5" s="3" t="inlineStr">
        <is>
          <t>Bourns PEC11R-4220F-N0024 (Mechanical)</t>
        </is>
      </c>
    </row>
    <row r="6" ht="20" customHeight="1">
      <c r="A6" s="5" t="inlineStr">
        <is>
          <t>Transducer Technology</t>
        </is>
      </c>
      <c r="B6" s="5" t="inlineStr">
        <is>
          <t>Capacitive ASIC sensor array (non-contacting)</t>
        </is>
      </c>
      <c r="C6" s="5" t="inlineStr">
        <is>
          <t>Mechanical contacting wipers on encoded PCB track</t>
        </is>
      </c>
    </row>
    <row r="7" ht="20" customHeight="1">
      <c r="A7" s="10" t="inlineStr">
        <is>
          <t>Mechanical Detents</t>
        </is>
      </c>
      <c r="B7" s="10" t="inlineStr">
        <is>
          <t>None (smooth continuous shaft rotation)</t>
        </is>
      </c>
      <c r="C7" s="10" t="inlineStr">
        <is>
          <t>24 mechanical click detents per 360° revolution (15.0° / detent)</t>
        </is>
      </c>
    </row>
    <row r="8" ht="20" customHeight="1">
      <c r="A8" s="5" t="inlineStr">
        <is>
          <t>Factory Nominal PPR</t>
        </is>
      </c>
      <c r="B8" s="7">
        <v>2048</v>
      </c>
      <c r="C8" s="7">
        <v>24</v>
      </c>
    </row>
    <row r="9" ht="20" customHeight="1">
      <c r="A9" s="10" t="inlineStr">
        <is>
          <t>Decoding Multiplier Modes Tested</t>
        </is>
      </c>
      <c r="B9" s="10" t="inlineStr">
        <is>
          <t>X1, X2, X4 (via STM32 Timer quadrature hardware)</t>
        </is>
      </c>
      <c r="C9" s="10" t="inlineStr">
        <is>
          <t>X1, X2, X4 (via STM32 Timer quadrature hardware)</t>
        </is>
      </c>
    </row>
    <row r="10" ht="20" customHeight="1">
      <c r="A10" s="5" t="inlineStr">
        <is>
          <t>Counts Per Revolution (CPR) at X1</t>
        </is>
      </c>
      <c r="B10" s="7">
        <v>2048</v>
      </c>
      <c r="C10" s="7">
        <v>24</v>
      </c>
    </row>
    <row r="11" ht="20" customHeight="1">
      <c r="A11" s="10" t="inlineStr">
        <is>
          <t>Counts Per Revolution (CPR) at X2</t>
        </is>
      </c>
      <c r="B11" s="12">
        <v>4096</v>
      </c>
      <c r="C11" s="12">
        <v>48</v>
      </c>
    </row>
    <row r="12" ht="20" customHeight="1">
      <c r="A12" s="5" t="inlineStr">
        <is>
          <t>Counts Per Revolution (CPR) at X4</t>
        </is>
      </c>
      <c r="B12" s="7">
        <v>8192</v>
      </c>
      <c r="C12" s="7">
        <v>96</v>
      </c>
    </row>
    <row r="13" ht="20" customHeight="1">
      <c r="A13" s="10" t="inlineStr">
        <is>
          <t>Angular Resolution per Count at X1</t>
        </is>
      </c>
      <c r="B13" s="10" t="inlineStr">
        <is>
          <t>0.1758° / count</t>
        </is>
      </c>
      <c r="C13" s="10" t="inlineStr">
        <is>
          <t>15.0000° / count</t>
        </is>
      </c>
    </row>
    <row r="14" ht="20" customHeight="1">
      <c r="A14" s="5" t="inlineStr">
        <is>
          <t>Angular Resolution per Count at X2</t>
        </is>
      </c>
      <c r="B14" s="5" t="inlineStr">
        <is>
          <t>0.0879° / count</t>
        </is>
      </c>
      <c r="C14" s="5" t="inlineStr">
        <is>
          <t>7.5000° / count</t>
        </is>
      </c>
    </row>
    <row r="15" ht="20" customHeight="1">
      <c r="A15" s="10" t="inlineStr">
        <is>
          <t>Angular Resolution per Count at X4</t>
        </is>
      </c>
      <c r="B15" s="10" t="inlineStr">
        <is>
          <t>0.0439° / count</t>
        </is>
      </c>
      <c r="C15" s="10" t="inlineStr">
        <is>
          <t>3.7500° / count</t>
        </is>
      </c>
    </row>
    <row r="16" ht="20" customHeight="1">
      <c r="A16" s="5" t="inlineStr">
        <is>
          <t>Primary Application</t>
        </is>
      </c>
      <c r="B16" s="5" t="inlineStr">
        <is>
          <t>High-precision motor servo feedback &amp; motion control</t>
        </is>
      </c>
      <c r="C16" s="5" t="inlineStr">
        <is>
          <t>Human-machine interface (HMI), rotary dial parameter inputs</t>
        </is>
      </c>
    </row>
    <row r="17" ht="20" customHeight="1">
      <c r="A17" s="10" t="inlineStr">
        <is>
          <t>Theoretical Relationship</t>
        </is>
      </c>
      <c r="B17" s="10" t="inlineStr">
        <is>
          <t>CPR = PPR × Multiplier  --&gt;  PPR = CPR / Multiplier</t>
        </is>
      </c>
      <c r="C17" s="10" t="inlineStr">
        <is>
          <t>CPR = PPR × Multiplier  --&gt;  PPR = CPR / Multiplier</t>
        </is>
      </c>
    </row>
    <row r="18" ht="14" customHeight="1">
    </row>
    <row r="19" ht="22" customHeight="1">
      <c r="A19" s="20" t="inlineStr">
        <is>
          <t>2. Empirical 360° Turn Statistical Summary (N=10 Trials per Mode, Mean ± Standard Deviation)</t>
        </is>
      </c>
    </row>
    <row r="20" ht="26" customHeight="1">
      <c r="A20" s="3" t="inlineStr">
        <is>
          <t>Encoder Model</t>
        </is>
      </c>
      <c r="B20" s="3" t="inlineStr">
        <is>
          <t>Mode</t>
        </is>
      </c>
      <c r="C20" s="3" t="inlineStr">
        <is>
          <t>Mult (M)</t>
        </is>
      </c>
      <c r="D20" s="3" t="inlineStr">
        <is>
          <t>Nominal CPR</t>
        </is>
      </c>
      <c r="E20" s="3" t="inlineStr">
        <is>
          <t>Nominal PPR</t>
        </is>
      </c>
      <c r="F20" s="3" t="inlineStr">
        <is>
          <t>Mean Count (360°)</t>
        </is>
      </c>
      <c r="G20" s="3" t="inlineStr">
        <is>
          <t>Std Dev Count (σ)</t>
        </is>
      </c>
      <c r="H20" s="3" t="inlineStr">
        <is>
          <t>Min Count</t>
        </is>
      </c>
      <c r="I20" s="3" t="inlineStr">
        <is>
          <t>Max Count</t>
        </is>
      </c>
      <c r="J20" s="3" t="inlineStr">
        <is>
          <t>Mean Calc PPR</t>
        </is>
      </c>
      <c r="K20" s="3" t="inlineStr">
        <is>
          <t>Std Dev PPR (σ)</t>
        </is>
      </c>
      <c r="L20" s="3" t="inlineStr">
        <is>
          <t>PPR Error vs Nom (%)</t>
        </is>
      </c>
      <c r="M20" s="3" t="inlineStr">
        <is>
          <t>Mean Angle (°)</t>
        </is>
      </c>
      <c r="N20" s="3" t="inlineStr">
        <is>
          <t>Std Dev Angle (σ)</t>
        </is>
      </c>
      <c r="O20" s="3" t="inlineStr">
        <is>
          <t>Determined Hardware PPR</t>
        </is>
      </c>
      <c r="P20" s="3" t="inlineStr">
        <is>
          <t>Variance &amp; Detent Characteristic</t>
        </is>
      </c>
    </row>
    <row r="21" ht="21" customHeight="1">
      <c r="A21" s="5" t="inlineStr">
        <is>
          <t>AMT103-V</t>
        </is>
      </c>
      <c r="B21" s="6" t="inlineStr">
        <is>
          <t>X1</t>
        </is>
      </c>
      <c r="C21" s="7">
        <v>1</v>
      </c>
      <c r="D21" s="7">
        <v>2048</v>
      </c>
      <c r="E21" s="7">
        <v>2048</v>
      </c>
      <c r="F21" s="8">
        <v>2058.8</v>
      </c>
      <c r="G21" s="8">
        <v>20.78354049616079</v>
      </c>
      <c r="H21" s="7">
        <v>2030.0</v>
      </c>
      <c r="I21" s="7">
        <v>2093.0</v>
      </c>
      <c r="J21" s="8">
        <v>2058.8</v>
      </c>
      <c r="K21" s="8">
        <v>20.78354049616079</v>
      </c>
      <c r="L21" s="9">
        <v>0.005273437500000089</v>
      </c>
      <c r="M21" s="8">
        <v>361.8984375</v>
      </c>
      <c r="N21" s="8">
        <v>3.653356727840764</v>
      </c>
      <c r="O21" s="22" t="inlineStr">
        <is>
          <t>2048 PPR</t>
        </is>
      </c>
      <c r="P21" s="5" t="inlineStr">
        <is>
          <t>Manual turn: +0.53% hand overshoot (no detents)</t>
        </is>
      </c>
    </row>
    <row r="22" ht="21" customHeight="1">
      <c r="A22" s="10" t="inlineStr">
        <is>
          <t>AMT103-V</t>
        </is>
      </c>
      <c r="B22" s="11" t="inlineStr">
        <is>
          <t>X2</t>
        </is>
      </c>
      <c r="C22" s="12">
        <v>2</v>
      </c>
      <c r="D22" s="12">
        <v>4096</v>
      </c>
      <c r="E22" s="12">
        <v>2048</v>
      </c>
      <c r="F22" s="13">
        <v>4107.7</v>
      </c>
      <c r="G22" s="13">
        <v>18.46347746227671</v>
      </c>
      <c r="H22" s="12">
        <v>4095.0</v>
      </c>
      <c r="I22" s="12">
        <v>4158.0</v>
      </c>
      <c r="J22" s="13">
        <v>2053.85</v>
      </c>
      <c r="K22" s="13">
        <v>9.231738731138355</v>
      </c>
      <c r="L22" s="14">
        <v>0.0028564453124999556</v>
      </c>
      <c r="M22" s="13">
        <v>361.0283203125</v>
      </c>
      <c r="N22" s="13">
        <v>1.622766573832914</v>
      </c>
      <c r="O22" s="22" t="inlineStr">
        <is>
          <t>2048 PPR</t>
        </is>
      </c>
      <c r="P22" s="10" t="inlineStr">
        <is>
          <t>Manual turn: +0.29% hand overshoot (no detents)</t>
        </is>
      </c>
    </row>
    <row r="23" ht="21" customHeight="1">
      <c r="A23" s="5" t="inlineStr">
        <is>
          <t>AMT103-V</t>
        </is>
      </c>
      <c r="B23" s="6" t="inlineStr">
        <is>
          <t>X4</t>
        </is>
      </c>
      <c r="C23" s="7">
        <v>4</v>
      </c>
      <c r="D23" s="7">
        <v>8192</v>
      </c>
      <c r="E23" s="7">
        <v>2048</v>
      </c>
      <c r="F23" s="8">
        <v>8252.5</v>
      </c>
      <c r="G23" s="8">
        <v>58.757978181690355</v>
      </c>
      <c r="H23" s="7">
        <v>8174.0</v>
      </c>
      <c r="I23" s="7">
        <v>8347.0</v>
      </c>
      <c r="J23" s="8">
        <v>2063.125</v>
      </c>
      <c r="K23" s="8">
        <v>14.689494545422589</v>
      </c>
      <c r="L23" s="9">
        <v>0.00738525390625</v>
      </c>
      <c r="M23" s="8">
        <v>362.65869140625</v>
      </c>
      <c r="N23" s="8">
        <v>2.5821377130625645</v>
      </c>
      <c r="O23" s="22" t="inlineStr">
        <is>
          <t>2048 PPR</t>
        </is>
      </c>
      <c r="P23" s="5" t="inlineStr">
        <is>
          <t>Manual turn: +0.74% hand overshoot (no detents)</t>
        </is>
      </c>
    </row>
    <row r="24" ht="21" customHeight="1">
      <c r="A24" s="10" t="inlineStr">
        <is>
          <t>Bourns PEC11R</t>
        </is>
      </c>
      <c r="B24" s="11" t="inlineStr">
        <is>
          <t>X1</t>
        </is>
      </c>
      <c r="C24" s="12">
        <v>1</v>
      </c>
      <c r="D24" s="12">
        <v>24</v>
      </c>
      <c r="E24" s="12">
        <v>24</v>
      </c>
      <c r="F24" s="13">
        <v>24.0</v>
      </c>
      <c r="G24" s="13">
        <v>0.0</v>
      </c>
      <c r="H24" s="12">
        <v>24.0</v>
      </c>
      <c r="I24" s="12">
        <v>24.0</v>
      </c>
      <c r="J24" s="13">
        <v>24.0</v>
      </c>
      <c r="K24" s="13">
        <v>0.0</v>
      </c>
      <c r="L24" s="14">
        <v>0.0</v>
      </c>
      <c r="M24" s="13">
        <v>360.0</v>
      </c>
      <c r="N24" s="13">
        <v>0.0</v>
      </c>
      <c r="O24" s="19" t="inlineStr">
        <is>
          <t>24 PPR</t>
        </is>
      </c>
      <c r="P24" s="10" t="inlineStr">
        <is>
          <t>Exact detent lock: 0.00% variance (24 clicks)</t>
        </is>
      </c>
    </row>
    <row r="25" ht="21" customHeight="1">
      <c r="A25" s="5" t="inlineStr">
        <is>
          <t>Bourns PEC11R</t>
        </is>
      </c>
      <c r="B25" s="6" t="inlineStr">
        <is>
          <t>X2</t>
        </is>
      </c>
      <c r="C25" s="7">
        <v>2</v>
      </c>
      <c r="D25" s="7">
        <v>48</v>
      </c>
      <c r="E25" s="7">
        <v>24</v>
      </c>
      <c r="F25" s="8">
        <v>48.0</v>
      </c>
      <c r="G25" s="8">
        <v>0.0</v>
      </c>
      <c r="H25" s="7">
        <v>48.0</v>
      </c>
      <c r="I25" s="7">
        <v>48.0</v>
      </c>
      <c r="J25" s="8">
        <v>24.0</v>
      </c>
      <c r="K25" s="8">
        <v>0.0</v>
      </c>
      <c r="L25" s="9">
        <v>0.0</v>
      </c>
      <c r="M25" s="8">
        <v>360.0</v>
      </c>
      <c r="N25" s="8">
        <v>0.0</v>
      </c>
      <c r="O25" s="19" t="inlineStr">
        <is>
          <t>24 PPR</t>
        </is>
      </c>
      <c r="P25" s="5" t="inlineStr">
        <is>
          <t>Exact detent lock: 0.00% variance (24 clicks)</t>
        </is>
      </c>
    </row>
    <row r="26" ht="21" customHeight="1">
      <c r="A26" s="10" t="inlineStr">
        <is>
          <t>Bourns PEC11R</t>
        </is>
      </c>
      <c r="B26" s="11" t="inlineStr">
        <is>
          <t>X4</t>
        </is>
      </c>
      <c r="C26" s="12">
        <v>4</v>
      </c>
      <c r="D26" s="12">
        <v>96</v>
      </c>
      <c r="E26" s="12">
        <v>24</v>
      </c>
      <c r="F26" s="13">
        <v>96.0</v>
      </c>
      <c r="G26" s="13">
        <v>0.0</v>
      </c>
      <c r="H26" s="12">
        <v>96.0</v>
      </c>
      <c r="I26" s="12">
        <v>96.0</v>
      </c>
      <c r="J26" s="13">
        <v>24.0</v>
      </c>
      <c r="K26" s="13">
        <v>0.0</v>
      </c>
      <c r="L26" s="14">
        <v>0.0</v>
      </c>
      <c r="M26" s="13">
        <v>360.0</v>
      </c>
      <c r="N26" s="13">
        <v>0.0</v>
      </c>
      <c r="O26" s="19" t="inlineStr">
        <is>
          <t>24 PPR</t>
        </is>
      </c>
      <c r="P26" s="10" t="inlineStr">
        <is>
          <t>Exact detent lock: 0.00% variance (24 clicks)</t>
        </is>
      </c>
    </row>
    <row r="27" ht="14" customHeight="1">
    </row>
    <row r="28" ht="22" customHeight="1">
      <c r="A28" s="20" t="inlineStr">
        <is>
          <t>3. Core Findings &amp; Physical Interpretation</t>
        </is>
      </c>
    </row>
    <row r="29" ht="20" customHeight="1">
      <c r="A29" s="0" t="inlineStr">
        <is>
          <t>1. Bourns PEC11R Zero-Variance (σ = 0.00): Across all 30 Bourns runs (10 per mode), the count was EXACTLY 24 for X1, 48 for X2, and 96 for X4. The standard deviation is 0.00 across all counts, PPR, and angle metrics because the 24 mechanical detents physically snap the shaft into position every 15°, completely eliminating operator positioning error.</t>
        </is>
      </c>
    </row>
    <row r="30" ht="20" customHeight="1">
      <c r="A30" s="0" t="inlineStr">
        <is>
          <t>2. AMT103-V High-Resolution Behavior (PPR σ = 9.23 to 20.78): The AMT103-V has no detents; manual 360° rotation was completed by eye. The empirical mean PPR (2058.80 at X1, 2053.85 at X2, 2063.12 at X4) exhibits a small operator stopping overshoot of +0.29% to +0.74% (1.0° to 2.7° past 360°), definitively confirming the factory DIP switch setting of 2048 PPR.</t>
        </is>
      </c>
    </row>
    <row r="31" ht="20" customHeight="1">
      <c r="A31" s="0" t="inlineStr">
        <is>
          <t>3. Multiplier Scaling: Both encoders follow CPR = PPR × Multiplier with exact linearity. In X4 decoding, all rising and falling edges of channels A &amp; B are clocked, providing 4× finer angular resolution without altering the underlying physical PPR.</t>
        </is>
      </c>
    </row>
    <row r="32" ht="20" customHeight="1">
      <c r="A32" s="0" t="inlineStr">
        <is>
          <t>4. Standard Deviation Convergence: When dividing the net counts by the multiplier M, the standard deviation of calculated PPR drops proportionally (σ_PPR = σ_count / M), demonstrating that X2 and X4 quadrature decoding provide higher measurement precision.</t>
        </is>
      </c>
    </row>
  </sheetData>
  <mergeCells count="5">
    <mergeCell ref="A1:P1"/>
    <mergeCell ref="A2:P2"/>
    <mergeCell ref="A4:P4"/>
    <mergeCell ref="A19:P19"/>
    <mergeCell ref="A28:P28"/>
  </mergeCells>
</worksheet>
</file>

<file path=xl/worksheets/sheet2.xml><?xml version="1.0" encoding="utf-8"?>
<worksheet xmlns="http://schemas.openxmlformats.org/spreadsheetml/2006/main">
  <cols>
    <col min="1" max="1" width="10" customWidth="1"/>
    <col min="2" max="2" width="18" customWidth="1"/>
    <col min="3" max="3" width="8" customWidth="1"/>
    <col min="4" max="4" width="10" customWidth="1"/>
    <col min="5" max="5" width="14" customWidth="1"/>
    <col min="6" max="6" width="18" customWidth="1"/>
    <col min="7" max="7" width="20" customWidth="1"/>
    <col min="8" max="8" width="18" customWidth="1"/>
    <col min="9" max="9" width="20" customWidth="1"/>
    <col min="10" max="10" width="14" customWidth="1"/>
    <col min="11" max="11" width="16" customWidth="1"/>
    <col min="12" max="12" width="15" customWidth="1"/>
    <col min="13" max="13" width="18" customWidth="1"/>
    <col min="14" max="14" width="18" customWidth="1"/>
    <col min="15" max="15" width="14" customWidth="1"/>
    <col min="16" max="16" width="15" customWidth="1"/>
  </cols>
  <sheetData>
    <row r="1" ht="28" customHeight="1">
      <c r="A1" s="1" t="inlineStr">
        <is>
          <t>AMT103-V — 360° REVOLUTION &amp; PPR RUN-BY-RUN ANALYSIS</t>
        </is>
      </c>
    </row>
    <row r="2" ht="18" customHeight="1">
      <c r="A2" s="2" t="inlineStr">
        <is>
          <t>Detailed measurement log for 30 single-revolution runs (10 trials each at X1, X2, and X4 decoding)</t>
        </is>
      </c>
    </row>
    <row r="3" ht="10" customHeight="1">
    </row>
    <row r="4" ht="26" customHeight="1">
      <c r="A4" s="3" t="inlineStr">
        <is>
          <t>Trial #</t>
        </is>
      </c>
      <c r="B4" s="3" t="inlineStr">
        <is>
          <t>File Name</t>
        </is>
      </c>
      <c r="C4" s="3" t="inlineStr">
        <is>
          <t>Mode</t>
        </is>
      </c>
      <c r="D4" s="3" t="inlineStr">
        <is>
          <t>Mult (M)</t>
        </is>
      </c>
      <c r="E4" s="3" t="inlineStr">
        <is>
          <t>Nominal CPR</t>
        </is>
      </c>
      <c r="F4" s="3" t="inlineStr">
        <is>
          <t>Initial Count (x0)</t>
        </is>
      </c>
      <c r="G4" s="3" t="inlineStr">
        <is>
          <t>Plateau Count (x_end)</t>
        </is>
      </c>
      <c r="H4" s="3" t="inlineStr">
        <is>
          <t>Net 360° Count (ΔN)</t>
        </is>
      </c>
      <c r="I4" s="3" t="inlineStr">
        <is>
          <t>Calculated PPR (ΔN/M)</t>
        </is>
      </c>
      <c r="J4" s="3" t="inlineStr">
        <is>
          <t>Nominal PPR</t>
        </is>
      </c>
      <c r="K4" s="3" t="inlineStr">
        <is>
          <t>PPR Diff (Counts)</t>
        </is>
      </c>
      <c r="L4" s="3" t="inlineStr">
        <is>
          <t>PPR Error (%)</t>
        </is>
      </c>
      <c r="M4" s="3" t="inlineStr">
        <is>
          <t>Measured Angle (°)</t>
        </is>
      </c>
      <c r="N4" s="3" t="inlineStr">
        <is>
          <t>Angle Error (°)</t>
        </is>
      </c>
      <c r="O4" s="3" t="inlineStr">
        <is>
          <t>Duration (s)</t>
        </is>
      </c>
      <c r="P4" s="3" t="inlineStr">
        <is>
          <t>Backlash Steps</t>
        </is>
      </c>
    </row>
    <row r="5" ht="20" customHeight="1">
      <c r="A5" s="6">
        <v>1</v>
      </c>
      <c r="B5" s="5" t="inlineStr">
        <is>
          <t>AMT_X1_1.mat</t>
        </is>
      </c>
      <c r="C5" s="6" t="inlineStr">
        <is>
          <t>X1</t>
        </is>
      </c>
      <c r="D5" s="7">
        <v>1</v>
      </c>
      <c r="E5" s="7">
        <v>2048.0</v>
      </c>
      <c r="F5" s="7">
        <v>0.0</v>
      </c>
      <c r="G5" s="7">
        <v>2093.0</v>
      </c>
      <c r="H5" s="7">
        <f>G5-F5</f>
        <v>2093.0</v>
      </c>
      <c r="I5" s="8">
        <f>H5/D5</f>
        <v>2093.0</v>
      </c>
      <c r="J5" s="7">
        <v>2048.0</v>
      </c>
      <c r="K5" s="8">
        <f>I5-J5</f>
        <v>45.0</v>
      </c>
      <c r="L5" s="9">
        <f>K5/J5</f>
        <v>0.02197265625</v>
      </c>
      <c r="M5" s="8">
        <f>H5*(360/E5)</f>
        <v>367.91015625</v>
      </c>
      <c r="N5" s="8">
        <f>M5-360</f>
        <v>7.91015625</v>
      </c>
      <c r="O5" s="8">
        <v>13.807</v>
      </c>
      <c r="P5" s="7">
        <v>2</v>
      </c>
    </row>
    <row r="6" ht="20" customHeight="1">
      <c r="A6" s="11">
        <v>2</v>
      </c>
      <c r="B6" s="10" t="inlineStr">
        <is>
          <t>AMT_X1_2.mat</t>
        </is>
      </c>
      <c r="C6" s="11" t="inlineStr">
        <is>
          <t>X1</t>
        </is>
      </c>
      <c r="D6" s="12">
        <v>1</v>
      </c>
      <c r="E6" s="12">
        <v>2048.0</v>
      </c>
      <c r="F6" s="12">
        <v>0.0</v>
      </c>
      <c r="G6" s="12">
        <v>2054.0</v>
      </c>
      <c r="H6" s="12">
        <f>G6-F6</f>
        <v>2054.0</v>
      </c>
      <c r="I6" s="13">
        <f>H6/D6</f>
        <v>2054.0</v>
      </c>
      <c r="J6" s="12">
        <v>2048.0</v>
      </c>
      <c r="K6" s="13">
        <f>I6-J6</f>
        <v>6.0</v>
      </c>
      <c r="L6" s="14">
        <f>K6/J6</f>
        <v>0.0029296875</v>
      </c>
      <c r="M6" s="13">
        <f>H6*(360/E6)</f>
        <v>361.0546875</v>
      </c>
      <c r="N6" s="13">
        <f>M6-360</f>
        <v>1.0546875</v>
      </c>
      <c r="O6" s="13">
        <v>14.838</v>
      </c>
      <c r="P6" s="12">
        <v>0</v>
      </c>
    </row>
    <row r="7" ht="20" customHeight="1">
      <c r="A7" s="6">
        <v>3</v>
      </c>
      <c r="B7" s="5" t="inlineStr">
        <is>
          <t>AMT_X1_3.mat</t>
        </is>
      </c>
      <c r="C7" s="6" t="inlineStr">
        <is>
          <t>X1</t>
        </is>
      </c>
      <c r="D7" s="7">
        <v>1</v>
      </c>
      <c r="E7" s="7">
        <v>2048.0</v>
      </c>
      <c r="F7" s="7">
        <v>0.0</v>
      </c>
      <c r="G7" s="7">
        <v>2065.0</v>
      </c>
      <c r="H7" s="7">
        <f>G7-F7</f>
        <v>2065.0</v>
      </c>
      <c r="I7" s="8">
        <f>H7/D7</f>
        <v>2065.0</v>
      </c>
      <c r="J7" s="7">
        <v>2048.0</v>
      </c>
      <c r="K7" s="8">
        <f>I7-J7</f>
        <v>17.0</v>
      </c>
      <c r="L7" s="9">
        <f>K7/J7</f>
        <v>0.00830078125</v>
      </c>
      <c r="M7" s="8">
        <f>H7*(360/E7)</f>
        <v>362.98828125</v>
      </c>
      <c r="N7" s="8">
        <f>M7-360</f>
        <v>2.98828125</v>
      </c>
      <c r="O7" s="8">
        <v>16.093</v>
      </c>
      <c r="P7" s="7">
        <v>0</v>
      </c>
    </row>
    <row r="8" ht="20" customHeight="1">
      <c r="A8" s="11">
        <v>4</v>
      </c>
      <c r="B8" s="10" t="inlineStr">
        <is>
          <t>AMT_X1_4.mat</t>
        </is>
      </c>
      <c r="C8" s="11" t="inlineStr">
        <is>
          <t>X1</t>
        </is>
      </c>
      <c r="D8" s="12">
        <v>1</v>
      </c>
      <c r="E8" s="12">
        <v>2048.0</v>
      </c>
      <c r="F8" s="12">
        <v>0.0</v>
      </c>
      <c r="G8" s="12">
        <v>2035.0</v>
      </c>
      <c r="H8" s="12">
        <f>G8-F8</f>
        <v>2035.0</v>
      </c>
      <c r="I8" s="13">
        <f>H8/D8</f>
        <v>2035.0</v>
      </c>
      <c r="J8" s="12">
        <v>2048.0</v>
      </c>
      <c r="K8" s="13">
        <f>I8-J8</f>
        <v>-13.0</v>
      </c>
      <c r="L8" s="14">
        <f>K8/J8</f>
        <v>-0.00634765625</v>
      </c>
      <c r="M8" s="13">
        <f>H8*(360/E8)</f>
        <v>357.71484375</v>
      </c>
      <c r="N8" s="13">
        <f>M8-360</f>
        <v>-2.28515625</v>
      </c>
      <c r="O8" s="13">
        <v>16.597</v>
      </c>
      <c r="P8" s="12">
        <v>0</v>
      </c>
    </row>
    <row r="9" ht="20" customHeight="1">
      <c r="A9" s="6">
        <v>5</v>
      </c>
      <c r="B9" s="5" t="inlineStr">
        <is>
          <t>AMT_X1_5.mat</t>
        </is>
      </c>
      <c r="C9" s="6" t="inlineStr">
        <is>
          <t>X1</t>
        </is>
      </c>
      <c r="D9" s="7">
        <v>1</v>
      </c>
      <c r="E9" s="7">
        <v>2048.0</v>
      </c>
      <c r="F9" s="7">
        <v>0.0</v>
      </c>
      <c r="G9" s="7">
        <v>2071.0</v>
      </c>
      <c r="H9" s="7">
        <f>G9-F9</f>
        <v>2071.0</v>
      </c>
      <c r="I9" s="8">
        <f>H9/D9</f>
        <v>2071.0</v>
      </c>
      <c r="J9" s="7">
        <v>2048.0</v>
      </c>
      <c r="K9" s="8">
        <f>I9-J9</f>
        <v>23.0</v>
      </c>
      <c r="L9" s="9">
        <f>K9/J9</f>
        <v>0.01123046875</v>
      </c>
      <c r="M9" s="8">
        <f>H9*(360/E9)</f>
        <v>364.04296875</v>
      </c>
      <c r="N9" s="8">
        <f>M9-360</f>
        <v>4.04296875</v>
      </c>
      <c r="O9" s="8">
        <v>16.62</v>
      </c>
      <c r="P9" s="7">
        <v>0</v>
      </c>
    </row>
    <row r="10" ht="20" customHeight="1">
      <c r="A10" s="11">
        <v>6</v>
      </c>
      <c r="B10" s="10" t="inlineStr">
        <is>
          <t>AMT_X1_6.mat</t>
        </is>
      </c>
      <c r="C10" s="11" t="inlineStr">
        <is>
          <t>X1</t>
        </is>
      </c>
      <c r="D10" s="12">
        <v>1</v>
      </c>
      <c r="E10" s="12">
        <v>2048.0</v>
      </c>
      <c r="F10" s="12">
        <v>0.0</v>
      </c>
      <c r="G10" s="12">
        <v>2041.0</v>
      </c>
      <c r="H10" s="12">
        <f>G10-F10</f>
        <v>2041.0</v>
      </c>
      <c r="I10" s="13">
        <f>H10/D10</f>
        <v>2041.0</v>
      </c>
      <c r="J10" s="12">
        <v>2048.0</v>
      </c>
      <c r="K10" s="13">
        <f>I10-J10</f>
        <v>-7.0</v>
      </c>
      <c r="L10" s="14">
        <f>K10/J10</f>
        <v>-0.00341796875</v>
      </c>
      <c r="M10" s="13">
        <f>H10*(360/E10)</f>
        <v>358.76953125</v>
      </c>
      <c r="N10" s="13">
        <f>M10-360</f>
        <v>-1.23046875</v>
      </c>
      <c r="O10" s="13">
        <v>16.35</v>
      </c>
      <c r="P10" s="12">
        <v>0</v>
      </c>
    </row>
    <row r="11" ht="20" customHeight="1">
      <c r="A11" s="6">
        <v>7</v>
      </c>
      <c r="B11" s="5" t="inlineStr">
        <is>
          <t>AMT_X1_7.mat</t>
        </is>
      </c>
      <c r="C11" s="6" t="inlineStr">
        <is>
          <t>X1</t>
        </is>
      </c>
      <c r="D11" s="7">
        <v>1</v>
      </c>
      <c r="E11" s="7">
        <v>2048.0</v>
      </c>
      <c r="F11" s="7">
        <v>0.0</v>
      </c>
      <c r="G11" s="7">
        <v>2030.0</v>
      </c>
      <c r="H11" s="7">
        <f>G11-F11</f>
        <v>2030.0</v>
      </c>
      <c r="I11" s="8">
        <f>H11/D11</f>
        <v>2030.0</v>
      </c>
      <c r="J11" s="7">
        <v>2048.0</v>
      </c>
      <c r="K11" s="8">
        <f>I11-J11</f>
        <v>-18.0</v>
      </c>
      <c r="L11" s="9">
        <f>K11/J11</f>
        <v>-0.0087890625</v>
      </c>
      <c r="M11" s="8">
        <f>H11*(360/E11)</f>
        <v>356.8359375</v>
      </c>
      <c r="N11" s="8">
        <f>M11-360</f>
        <v>-3.1640625</v>
      </c>
      <c r="O11" s="8">
        <v>15.587</v>
      </c>
      <c r="P11" s="7">
        <v>0</v>
      </c>
    </row>
    <row r="12" ht="20" customHeight="1">
      <c r="A12" s="11">
        <v>8</v>
      </c>
      <c r="B12" s="10" t="inlineStr">
        <is>
          <t>AMT_X1_8.mat</t>
        </is>
      </c>
      <c r="C12" s="11" t="inlineStr">
        <is>
          <t>X1</t>
        </is>
      </c>
      <c r="D12" s="12">
        <v>1</v>
      </c>
      <c r="E12" s="12">
        <v>2048.0</v>
      </c>
      <c r="F12" s="12">
        <v>0.0</v>
      </c>
      <c r="G12" s="12">
        <v>2046.0</v>
      </c>
      <c r="H12" s="12">
        <f>G12-F12</f>
        <v>2046.0</v>
      </c>
      <c r="I12" s="13">
        <f>H12/D12</f>
        <v>2046.0</v>
      </c>
      <c r="J12" s="12">
        <v>2048.0</v>
      </c>
      <c r="K12" s="13">
        <f>I12-J12</f>
        <v>-2.0</v>
      </c>
      <c r="L12" s="14">
        <f>K12/J12</f>
        <v>-0.0009765625</v>
      </c>
      <c r="M12" s="13">
        <f>H12*(360/E12)</f>
        <v>359.6484375</v>
      </c>
      <c r="N12" s="13">
        <f>M12-360</f>
        <v>-0.3515625</v>
      </c>
      <c r="O12" s="13">
        <v>14.576</v>
      </c>
      <c r="P12" s="12">
        <v>0</v>
      </c>
    </row>
    <row r="13" ht="20" customHeight="1">
      <c r="A13" s="6">
        <v>9</v>
      </c>
      <c r="B13" s="5" t="inlineStr">
        <is>
          <t>AMT_X1_9.mat</t>
        </is>
      </c>
      <c r="C13" s="6" t="inlineStr">
        <is>
          <t>X1</t>
        </is>
      </c>
      <c r="D13" s="7">
        <v>1</v>
      </c>
      <c r="E13" s="7">
        <v>2048.0</v>
      </c>
      <c r="F13" s="7">
        <v>0.0</v>
      </c>
      <c r="G13" s="7">
        <v>2075.0</v>
      </c>
      <c r="H13" s="7">
        <f>G13-F13</f>
        <v>2075.0</v>
      </c>
      <c r="I13" s="8">
        <f>H13/D13</f>
        <v>2075.0</v>
      </c>
      <c r="J13" s="7">
        <v>2048.0</v>
      </c>
      <c r="K13" s="8">
        <f>I13-J13</f>
        <v>27.0</v>
      </c>
      <c r="L13" s="9">
        <f>K13/J13</f>
        <v>0.01318359375</v>
      </c>
      <c r="M13" s="8">
        <f>H13*(360/E13)</f>
        <v>364.74609375</v>
      </c>
      <c r="N13" s="8">
        <f>M13-360</f>
        <v>4.74609375</v>
      </c>
      <c r="O13" s="8">
        <v>15.329</v>
      </c>
      <c r="P13" s="7">
        <v>0</v>
      </c>
    </row>
    <row r="14" ht="20" customHeight="1">
      <c r="A14" s="11">
        <v>10</v>
      </c>
      <c r="B14" s="10" t="inlineStr">
        <is>
          <t>AMT_X1_10.mat</t>
        </is>
      </c>
      <c r="C14" s="11" t="inlineStr">
        <is>
          <t>X1</t>
        </is>
      </c>
      <c r="D14" s="12">
        <v>1</v>
      </c>
      <c r="E14" s="12">
        <v>2048.0</v>
      </c>
      <c r="F14" s="12">
        <v>0.0</v>
      </c>
      <c r="G14" s="12">
        <v>2078.0</v>
      </c>
      <c r="H14" s="12">
        <f>G14-F14</f>
        <v>2078.0</v>
      </c>
      <c r="I14" s="13">
        <f>H14/D14</f>
        <v>2078.0</v>
      </c>
      <c r="J14" s="12">
        <v>2048.0</v>
      </c>
      <c r="K14" s="13">
        <f>I14-J14</f>
        <v>30.0</v>
      </c>
      <c r="L14" s="14">
        <f>K14/J14</f>
        <v>0.0146484375</v>
      </c>
      <c r="M14" s="13">
        <f>H14*(360/E14)</f>
        <v>365.2734375</v>
      </c>
      <c r="N14" s="13">
        <f>M14-360</f>
        <v>5.2734375</v>
      </c>
      <c r="O14" s="13">
        <v>16.091</v>
      </c>
      <c r="P14" s="12">
        <v>0</v>
      </c>
    </row>
    <row r="15" ht="21" customHeight="1">
      <c r="A15" s="15" t="inlineStr">
        <is>
          <t>AVG</t>
        </is>
      </c>
      <c r="B15" s="15" t="inlineStr">
        <is>
          <t>AMT103-V X1 Mean</t>
        </is>
      </c>
      <c r="C15" s="15" t="inlineStr">
        <is>
          <t>X1</t>
        </is>
      </c>
      <c r="D15" s="15" t="inlineStr">
        <is>
          <t/>
        </is>
      </c>
      <c r="E15" s="15" t="inlineStr">
        <is>
          <t/>
        </is>
      </c>
      <c r="F15" s="15" t="inlineStr">
        <is>
          <t/>
        </is>
      </c>
      <c r="G15" s="15" t="inlineStr">
        <is>
          <t/>
        </is>
      </c>
      <c r="H15" s="17">
        <f>AVERAGE(H5:H14)</f>
        <v>2058.8</v>
      </c>
      <c r="I15" s="17">
        <f>AVERAGE(I5:I14)</f>
        <v>2058.8</v>
      </c>
      <c r="J15" s="16">
        <v>2048.0</v>
      </c>
      <c r="K15" s="17">
        <f>AVERAGE(K5:K14)</f>
        <v>10.8</v>
      </c>
      <c r="L15" s="18">
        <f>AVERAGE(L5:L14)</f>
        <v>0.0052734375</v>
      </c>
      <c r="M15" s="17">
        <f>AVERAGE(M5:M14)</f>
        <v>361.8984375</v>
      </c>
      <c r="N15" s="17">
        <f>AVERAGE(N5:N14)</f>
        <v>1.8984375</v>
      </c>
      <c r="O15" s="17">
        <f>AVERAGE(O5:O14)</f>
        <v>15.5888</v>
      </c>
      <c r="P15" s="15" t="inlineStr">
        <is>
          <t/>
        </is>
      </c>
    </row>
    <row r="16" ht="21" customHeight="1">
      <c r="A16" s="24" t="inlineStr">
        <is>
          <t>STDEV</t>
        </is>
      </c>
      <c r="B16" s="24" t="inlineStr">
        <is>
          <t>AMT103-V X1 Std Dev (σ)</t>
        </is>
      </c>
      <c r="C16" s="24" t="inlineStr">
        <is>
          <t>X1</t>
        </is>
      </c>
      <c r="D16" s="24" t="inlineStr">
        <is>
          <t/>
        </is>
      </c>
      <c r="E16" s="24" t="inlineStr">
        <is>
          <t/>
        </is>
      </c>
      <c r="F16" s="24" t="inlineStr">
        <is>
          <t/>
        </is>
      </c>
      <c r="G16" s="24" t="inlineStr">
        <is>
          <t/>
        </is>
      </c>
      <c r="H16" s="25">
        <f>STDEV.S(H5:H14)</f>
        <v>20.78354049616079</v>
      </c>
      <c r="I16" s="25">
        <f>STDEV.S(I5:I14)</f>
        <v>20.78354049616079</v>
      </c>
      <c r="J16" s="24" t="inlineStr">
        <is>
          <t>-</t>
        </is>
      </c>
      <c r="K16" s="25">
        <f>STDEV.S(K5:K14)</f>
        <v>20.783540496160793</v>
      </c>
      <c r="L16" s="26">
        <f>STDEV.S(L5:L14)</f>
        <v>0.010148213132891012</v>
      </c>
      <c r="M16" s="25">
        <f>STDEV.S(M5:M14)</f>
        <v>3.653356727840764</v>
      </c>
      <c r="N16" s="25">
        <f>STDEV.S(N5:N14)</f>
        <v>3.653356727840764</v>
      </c>
      <c r="O16" s="25">
        <f>STDEV.S(O5:O14)</f>
        <v>0.9426595709303902</v>
      </c>
      <c r="P16" s="24" t="inlineStr">
        <is>
          <t/>
        </is>
      </c>
    </row>
    <row r="17" ht="8" customHeight="1">
    </row>
    <row r="18" ht="20" customHeight="1">
      <c r="A18" s="6">
        <v>11</v>
      </c>
      <c r="B18" s="5" t="inlineStr">
        <is>
          <t>AMT_X2_1.mat</t>
        </is>
      </c>
      <c r="C18" s="6" t="inlineStr">
        <is>
          <t>X2</t>
        </is>
      </c>
      <c r="D18" s="7">
        <v>2</v>
      </c>
      <c r="E18" s="7">
        <v>4096.0</v>
      </c>
      <c r="F18" s="7">
        <v>0.0</v>
      </c>
      <c r="G18" s="7">
        <v>4099.0</v>
      </c>
      <c r="H18" s="7">
        <f>G18-F18</f>
        <v>4099.0</v>
      </c>
      <c r="I18" s="8">
        <f>H18/D18</f>
        <v>2049.5</v>
      </c>
      <c r="J18" s="7">
        <v>2048.0</v>
      </c>
      <c r="K18" s="8">
        <f>I18-J18</f>
        <v>1.5</v>
      </c>
      <c r="L18" s="9">
        <f>K18/J18</f>
        <v>0.000732421875</v>
      </c>
      <c r="M18" s="8">
        <f>H18*(360/E18)</f>
        <v>360.263671875</v>
      </c>
      <c r="N18" s="8">
        <f>M18-360</f>
        <v>0.263671875</v>
      </c>
      <c r="O18" s="8">
        <v>13.069</v>
      </c>
      <c r="P18" s="7">
        <v>1</v>
      </c>
    </row>
    <row r="19" ht="20" customHeight="1">
      <c r="A19" s="11">
        <v>12</v>
      </c>
      <c r="B19" s="10" t="inlineStr">
        <is>
          <t>AMT_X2_2.mat</t>
        </is>
      </c>
      <c r="C19" s="11" t="inlineStr">
        <is>
          <t>X2</t>
        </is>
      </c>
      <c r="D19" s="12">
        <v>2</v>
      </c>
      <c r="E19" s="12">
        <v>4096.0</v>
      </c>
      <c r="F19" s="12">
        <v>0.0</v>
      </c>
      <c r="G19" s="12">
        <v>4098.0</v>
      </c>
      <c r="H19" s="12">
        <f>G19-F19</f>
        <v>4098.0</v>
      </c>
      <c r="I19" s="13">
        <f>H19/D19</f>
        <v>2049.0</v>
      </c>
      <c r="J19" s="12">
        <v>2048.0</v>
      </c>
      <c r="K19" s="13">
        <f>I19-J19</f>
        <v>1.0</v>
      </c>
      <c r="L19" s="14">
        <f>K19/J19</f>
        <v>0.00048828125</v>
      </c>
      <c r="M19" s="13">
        <f>H19*(360/E19)</f>
        <v>360.17578125</v>
      </c>
      <c r="N19" s="13">
        <f>M19-360</f>
        <v>0.17578125</v>
      </c>
      <c r="O19" s="13">
        <v>14.068</v>
      </c>
      <c r="P19" s="12">
        <v>0</v>
      </c>
    </row>
    <row r="20" ht="20" customHeight="1">
      <c r="A20" s="6">
        <v>13</v>
      </c>
      <c r="B20" s="5" t="inlineStr">
        <is>
          <t>AMT_X2_3.mat</t>
        </is>
      </c>
      <c r="C20" s="6" t="inlineStr">
        <is>
          <t>X2</t>
        </is>
      </c>
      <c r="D20" s="7">
        <v>2</v>
      </c>
      <c r="E20" s="7">
        <v>4096.0</v>
      </c>
      <c r="F20" s="7">
        <v>0.0</v>
      </c>
      <c r="G20" s="7">
        <v>4158.0</v>
      </c>
      <c r="H20" s="7">
        <f>G20-F20</f>
        <v>4158.0</v>
      </c>
      <c r="I20" s="8">
        <f>H20/D20</f>
        <v>2079.0</v>
      </c>
      <c r="J20" s="7">
        <v>2048.0</v>
      </c>
      <c r="K20" s="8">
        <f>I20-J20</f>
        <v>31.0</v>
      </c>
      <c r="L20" s="9">
        <f>K20/J20</f>
        <v>0.01513671875</v>
      </c>
      <c r="M20" s="8">
        <f>H20*(360/E20)</f>
        <v>365.44921875</v>
      </c>
      <c r="N20" s="8">
        <f>M20-360</f>
        <v>5.44921875</v>
      </c>
      <c r="O20" s="8">
        <v>14.311</v>
      </c>
      <c r="P20" s="7">
        <v>0</v>
      </c>
    </row>
    <row r="21" ht="20" customHeight="1">
      <c r="A21" s="11">
        <v>14</v>
      </c>
      <c r="B21" s="10" t="inlineStr">
        <is>
          <t>AMT_X2_4.mat</t>
        </is>
      </c>
      <c r="C21" s="11" t="inlineStr">
        <is>
          <t>X2</t>
        </is>
      </c>
      <c r="D21" s="12">
        <v>2</v>
      </c>
      <c r="E21" s="12">
        <v>4096.0</v>
      </c>
      <c r="F21" s="12">
        <v>0.0</v>
      </c>
      <c r="G21" s="12">
        <v>4109.0</v>
      </c>
      <c r="H21" s="12">
        <f>G21-F21</f>
        <v>4109.0</v>
      </c>
      <c r="I21" s="13">
        <f>H21/D21</f>
        <v>2054.5</v>
      </c>
      <c r="J21" s="12">
        <v>2048.0</v>
      </c>
      <c r="K21" s="13">
        <f>I21-J21</f>
        <v>6.5</v>
      </c>
      <c r="L21" s="14">
        <f>K21/J21</f>
        <v>0.003173828125</v>
      </c>
      <c r="M21" s="13">
        <f>H21*(360/E21)</f>
        <v>361.142578125</v>
      </c>
      <c r="N21" s="13">
        <f>M21-360</f>
        <v>1.142578125</v>
      </c>
      <c r="O21" s="13">
        <v>13.036</v>
      </c>
      <c r="P21" s="12">
        <v>1</v>
      </c>
    </row>
    <row r="22" ht="20" customHeight="1">
      <c r="A22" s="6">
        <v>15</v>
      </c>
      <c r="B22" s="5" t="inlineStr">
        <is>
          <t>AMT_X2_5.mat</t>
        </is>
      </c>
      <c r="C22" s="6" t="inlineStr">
        <is>
          <t>X2</t>
        </is>
      </c>
      <c r="D22" s="7">
        <v>2</v>
      </c>
      <c r="E22" s="7">
        <v>4096.0</v>
      </c>
      <c r="F22" s="7">
        <v>0.0</v>
      </c>
      <c r="G22" s="7">
        <v>4101.0</v>
      </c>
      <c r="H22" s="7">
        <f>G22-F22</f>
        <v>4101.0</v>
      </c>
      <c r="I22" s="8">
        <f>H22/D22</f>
        <v>2050.5</v>
      </c>
      <c r="J22" s="7">
        <v>2048.0</v>
      </c>
      <c r="K22" s="8">
        <f>I22-J22</f>
        <v>2.5</v>
      </c>
      <c r="L22" s="9">
        <f>K22/J22</f>
        <v>0.001220703125</v>
      </c>
      <c r="M22" s="8">
        <f>H22*(360/E22)</f>
        <v>360.439453125</v>
      </c>
      <c r="N22" s="8">
        <f>M22-360</f>
        <v>0.439453125</v>
      </c>
      <c r="O22" s="8">
        <v>12.784</v>
      </c>
      <c r="P22" s="7">
        <v>0</v>
      </c>
    </row>
    <row r="23" ht="20" customHeight="1">
      <c r="A23" s="11">
        <v>16</v>
      </c>
      <c r="B23" s="10" t="inlineStr">
        <is>
          <t>AMT_X2_6.mat</t>
        </is>
      </c>
      <c r="C23" s="11" t="inlineStr">
        <is>
          <t>X2</t>
        </is>
      </c>
      <c r="D23" s="12">
        <v>2</v>
      </c>
      <c r="E23" s="12">
        <v>4096.0</v>
      </c>
      <c r="F23" s="12">
        <v>0.0</v>
      </c>
      <c r="G23" s="12">
        <v>4095.0</v>
      </c>
      <c r="H23" s="12">
        <f>G23-F23</f>
        <v>4095.0</v>
      </c>
      <c r="I23" s="13">
        <f>H23/D23</f>
        <v>2047.5</v>
      </c>
      <c r="J23" s="12">
        <v>2048.0</v>
      </c>
      <c r="K23" s="13">
        <f>I23-J23</f>
        <v>-0.5</v>
      </c>
      <c r="L23" s="14">
        <f>K23/J23</f>
        <v>-0.000244140625</v>
      </c>
      <c r="M23" s="13">
        <f>H23*(360/E23)</f>
        <v>359.912109375</v>
      </c>
      <c r="N23" s="13">
        <f>M23-360</f>
        <v>-0.087890625</v>
      </c>
      <c r="O23" s="13">
        <v>13.814</v>
      </c>
      <c r="P23" s="12">
        <v>0</v>
      </c>
    </row>
    <row r="24" ht="20" customHeight="1">
      <c r="A24" s="6">
        <v>17</v>
      </c>
      <c r="B24" s="5" t="inlineStr">
        <is>
          <t>AMT_X2_7.mat</t>
        </is>
      </c>
      <c r="C24" s="6" t="inlineStr">
        <is>
          <t>X2</t>
        </is>
      </c>
      <c r="D24" s="7">
        <v>2</v>
      </c>
      <c r="E24" s="7">
        <v>4096.0</v>
      </c>
      <c r="F24" s="7">
        <v>0.0</v>
      </c>
      <c r="G24" s="7">
        <v>4101.0</v>
      </c>
      <c r="H24" s="7">
        <f>G24-F24</f>
        <v>4101.0</v>
      </c>
      <c r="I24" s="8">
        <f>H24/D24</f>
        <v>2050.5</v>
      </c>
      <c r="J24" s="7">
        <v>2048.0</v>
      </c>
      <c r="K24" s="8">
        <f>I24-J24</f>
        <v>2.5</v>
      </c>
      <c r="L24" s="9">
        <f>K24/J24</f>
        <v>0.001220703125</v>
      </c>
      <c r="M24" s="8">
        <f>H24*(360/E24)</f>
        <v>360.439453125</v>
      </c>
      <c r="N24" s="8">
        <f>M24-360</f>
        <v>0.439453125</v>
      </c>
      <c r="O24" s="8">
        <v>12.8</v>
      </c>
      <c r="P24" s="7">
        <v>0</v>
      </c>
    </row>
    <row r="25" ht="20" customHeight="1">
      <c r="A25" s="11">
        <v>18</v>
      </c>
      <c r="B25" s="10" t="inlineStr">
        <is>
          <t>AMT_X2_8.mat</t>
        </is>
      </c>
      <c r="C25" s="11" t="inlineStr">
        <is>
          <t>X2</t>
        </is>
      </c>
      <c r="D25" s="12">
        <v>2</v>
      </c>
      <c r="E25" s="12">
        <v>4096.0</v>
      </c>
      <c r="F25" s="12">
        <v>0.0</v>
      </c>
      <c r="G25" s="12">
        <v>4098.0</v>
      </c>
      <c r="H25" s="12">
        <f>G25-F25</f>
        <v>4098.0</v>
      </c>
      <c r="I25" s="13">
        <f>H25/D25</f>
        <v>2049.0</v>
      </c>
      <c r="J25" s="12">
        <v>2048.0</v>
      </c>
      <c r="K25" s="13">
        <f>I25-J25</f>
        <v>1.0</v>
      </c>
      <c r="L25" s="14">
        <f>K25/J25</f>
        <v>0.00048828125</v>
      </c>
      <c r="M25" s="13">
        <f>H25*(360/E25)</f>
        <v>360.17578125</v>
      </c>
      <c r="N25" s="13">
        <f>M25-360</f>
        <v>0.17578125</v>
      </c>
      <c r="O25" s="13">
        <v>13.042</v>
      </c>
      <c r="P25" s="12">
        <v>1</v>
      </c>
    </row>
    <row r="26" ht="20" customHeight="1">
      <c r="A26" s="6">
        <v>19</v>
      </c>
      <c r="B26" s="5" t="inlineStr">
        <is>
          <t>AMT_X2_9.mat</t>
        </is>
      </c>
      <c r="C26" s="6" t="inlineStr">
        <is>
          <t>X2</t>
        </is>
      </c>
      <c r="D26" s="7">
        <v>2</v>
      </c>
      <c r="E26" s="7">
        <v>4096.0</v>
      </c>
      <c r="F26" s="7">
        <v>0.0</v>
      </c>
      <c r="G26" s="7">
        <v>4112.0</v>
      </c>
      <c r="H26" s="7">
        <f>G26-F26</f>
        <v>4112.0</v>
      </c>
      <c r="I26" s="8">
        <f>H26/D26</f>
        <v>2056.0</v>
      </c>
      <c r="J26" s="7">
        <v>2048.0</v>
      </c>
      <c r="K26" s="8">
        <f>I26-J26</f>
        <v>8.0</v>
      </c>
      <c r="L26" s="9">
        <f>K26/J26</f>
        <v>0.00390625</v>
      </c>
      <c r="M26" s="8">
        <f>H26*(360/E26)</f>
        <v>361.40625</v>
      </c>
      <c r="N26" s="8">
        <f>M26-360</f>
        <v>1.40625</v>
      </c>
      <c r="O26" s="8">
        <v>12.797</v>
      </c>
      <c r="P26" s="7">
        <v>0</v>
      </c>
    </row>
    <row r="27" ht="20" customHeight="1">
      <c r="A27" s="11">
        <v>20</v>
      </c>
      <c r="B27" s="10" t="inlineStr">
        <is>
          <t>AMT_X2_10.mat</t>
        </is>
      </c>
      <c r="C27" s="11" t="inlineStr">
        <is>
          <t>X2</t>
        </is>
      </c>
      <c r="D27" s="12">
        <v>2</v>
      </c>
      <c r="E27" s="12">
        <v>4096.0</v>
      </c>
      <c r="F27" s="12">
        <v>0.0</v>
      </c>
      <c r="G27" s="12">
        <v>4106.0</v>
      </c>
      <c r="H27" s="12">
        <f>G27-F27</f>
        <v>4106.0</v>
      </c>
      <c r="I27" s="13">
        <f>H27/D27</f>
        <v>2053.0</v>
      </c>
      <c r="J27" s="12">
        <v>2048.0</v>
      </c>
      <c r="K27" s="13">
        <f>I27-J27</f>
        <v>5.0</v>
      </c>
      <c r="L27" s="14">
        <f>K27/J27</f>
        <v>0.00244140625</v>
      </c>
      <c r="M27" s="13">
        <f>H27*(360/E27)</f>
        <v>360.87890625</v>
      </c>
      <c r="N27" s="13">
        <f>M27-360</f>
        <v>0.87890625</v>
      </c>
      <c r="O27" s="13">
        <v>12.294</v>
      </c>
      <c r="P27" s="12">
        <v>0</v>
      </c>
    </row>
    <row r="28" ht="21" customHeight="1">
      <c r="A28" s="15" t="inlineStr">
        <is>
          <t>AVG</t>
        </is>
      </c>
      <c r="B28" s="15" t="inlineStr">
        <is>
          <t>AMT103-V X2 Mean</t>
        </is>
      </c>
      <c r="C28" s="15" t="inlineStr">
        <is>
          <t>X2</t>
        </is>
      </c>
      <c r="D28" s="15" t="inlineStr">
        <is>
          <t/>
        </is>
      </c>
      <c r="E28" s="15" t="inlineStr">
        <is>
          <t/>
        </is>
      </c>
      <c r="F28" s="15" t="inlineStr">
        <is>
          <t/>
        </is>
      </c>
      <c r="G28" s="15" t="inlineStr">
        <is>
          <t/>
        </is>
      </c>
      <c r="H28" s="17">
        <f>AVERAGE(H18:H27)</f>
        <v>4107.7</v>
      </c>
      <c r="I28" s="17">
        <f>AVERAGE(I18:I27)</f>
        <v>2053.85</v>
      </c>
      <c r="J28" s="16">
        <v>2048.0</v>
      </c>
      <c r="K28" s="17">
        <f>AVERAGE(K18:K27)</f>
        <v>5.85</v>
      </c>
      <c r="L28" s="18">
        <f>AVERAGE(L18:L27)</f>
        <v>0.0028564453125</v>
      </c>
      <c r="M28" s="17">
        <f>AVERAGE(M18:M27)</f>
        <v>361.0283203125</v>
      </c>
      <c r="N28" s="17">
        <f>AVERAGE(N18:N27)</f>
        <v>1.0283203125</v>
      </c>
      <c r="O28" s="17">
        <f>AVERAGE(O18:O27)</f>
        <v>13.201500000000001</v>
      </c>
      <c r="P28" s="15" t="inlineStr">
        <is>
          <t/>
        </is>
      </c>
    </row>
    <row r="29" ht="21" customHeight="1">
      <c r="A29" s="24" t="inlineStr">
        <is>
          <t>STDEV</t>
        </is>
      </c>
      <c r="B29" s="24" t="inlineStr">
        <is>
          <t>AMT103-V X2 Std Dev (σ)</t>
        </is>
      </c>
      <c r="C29" s="24" t="inlineStr">
        <is>
          <t>X2</t>
        </is>
      </c>
      <c r="D29" s="24" t="inlineStr">
        <is>
          <t/>
        </is>
      </c>
      <c r="E29" s="24" t="inlineStr">
        <is>
          <t/>
        </is>
      </c>
      <c r="F29" s="24" t="inlineStr">
        <is>
          <t/>
        </is>
      </c>
      <c r="G29" s="24" t="inlineStr">
        <is>
          <t/>
        </is>
      </c>
      <c r="H29" s="25">
        <f>STDEV.S(H18:H27)</f>
        <v>18.46347746227671</v>
      </c>
      <c r="I29" s="25">
        <f>STDEV.S(I18:I27)</f>
        <v>9.231738731138355</v>
      </c>
      <c r="J29" s="24" t="inlineStr">
        <is>
          <t>-</t>
        </is>
      </c>
      <c r="K29" s="25">
        <f>STDEV.S(K18:K27)</f>
        <v>9.231738731138353</v>
      </c>
      <c r="L29" s="26">
        <f>STDEV.S(L18:L27)</f>
        <v>0.004507684927313649</v>
      </c>
      <c r="M29" s="25">
        <f>STDEV.S(M18:M27)</f>
        <v>1.622766573832914</v>
      </c>
      <c r="N29" s="25">
        <f>STDEV.S(N18:N27)</f>
        <v>1.622766573832914</v>
      </c>
      <c r="O29" s="25">
        <f>STDEV.S(O18:O27)</f>
        <v>0.6455007100435028</v>
      </c>
      <c r="P29" s="24" t="inlineStr">
        <is>
          <t/>
        </is>
      </c>
    </row>
    <row r="30" ht="8" customHeight="1">
    </row>
    <row r="31" ht="20" customHeight="1">
      <c r="A31" s="6">
        <v>21</v>
      </c>
      <c r="B31" s="5" t="inlineStr">
        <is>
          <t>AMT_X4_1.mat</t>
        </is>
      </c>
      <c r="C31" s="6" t="inlineStr">
        <is>
          <t>X4</t>
        </is>
      </c>
      <c r="D31" s="7">
        <v>4</v>
      </c>
      <c r="E31" s="7">
        <v>8192.0</v>
      </c>
      <c r="F31" s="7">
        <v>1.0</v>
      </c>
      <c r="G31" s="7">
        <v>8194.0</v>
      </c>
      <c r="H31" s="7">
        <f>G31-F31</f>
        <v>8193.0</v>
      </c>
      <c r="I31" s="8">
        <f>H31/D31</f>
        <v>2048.25</v>
      </c>
      <c r="J31" s="7">
        <v>2048.0</v>
      </c>
      <c r="K31" s="8">
        <f>I31-J31</f>
        <v>0.25</v>
      </c>
      <c r="L31" s="9">
        <f>K31/J31</f>
        <v>0.0001220703125</v>
      </c>
      <c r="M31" s="8">
        <f>H31*(360/E31)</f>
        <v>360.0439453125</v>
      </c>
      <c r="N31" s="8">
        <f>M31-360</f>
        <v>0.0439453125</v>
      </c>
      <c r="O31" s="8">
        <v>14.768</v>
      </c>
      <c r="P31" s="7">
        <v>0</v>
      </c>
    </row>
    <row r="32" ht="20" customHeight="1">
      <c r="A32" s="11">
        <v>22</v>
      </c>
      <c r="B32" s="10" t="inlineStr">
        <is>
          <t>AMT_X4_2.mat</t>
        </is>
      </c>
      <c r="C32" s="11" t="inlineStr">
        <is>
          <t>X4</t>
        </is>
      </c>
      <c r="D32" s="12">
        <v>4</v>
      </c>
      <c r="E32" s="12">
        <v>8192.0</v>
      </c>
      <c r="F32" s="12">
        <v>0.0</v>
      </c>
      <c r="G32" s="12">
        <v>8347.0</v>
      </c>
      <c r="H32" s="12">
        <f>G32-F32</f>
        <v>8347.0</v>
      </c>
      <c r="I32" s="13">
        <f>H32/D32</f>
        <v>2086.75</v>
      </c>
      <c r="J32" s="12">
        <v>2048.0</v>
      </c>
      <c r="K32" s="13">
        <f>I32-J32</f>
        <v>38.75</v>
      </c>
      <c r="L32" s="14">
        <f>K32/J32</f>
        <v>0.0189208984375</v>
      </c>
      <c r="M32" s="13">
        <f>H32*(360/E32)</f>
        <v>366.8115234375</v>
      </c>
      <c r="N32" s="13">
        <f>M32-360</f>
        <v>6.8115234375</v>
      </c>
      <c r="O32" s="13">
        <v>13.309</v>
      </c>
      <c r="P32" s="12">
        <v>0</v>
      </c>
    </row>
    <row r="33" ht="20" customHeight="1">
      <c r="A33" s="6">
        <v>23</v>
      </c>
      <c r="B33" s="5" t="inlineStr">
        <is>
          <t>AMT_X4_3.mat</t>
        </is>
      </c>
      <c r="C33" s="6" t="inlineStr">
        <is>
          <t>X4</t>
        </is>
      </c>
      <c r="D33" s="7">
        <v>4</v>
      </c>
      <c r="E33" s="7">
        <v>8192.0</v>
      </c>
      <c r="F33" s="7">
        <v>1.0</v>
      </c>
      <c r="G33" s="7">
        <v>8175.0</v>
      </c>
      <c r="H33" s="7">
        <f>G33-F33</f>
        <v>8174.0</v>
      </c>
      <c r="I33" s="8">
        <f>H33/D33</f>
        <v>2043.5</v>
      </c>
      <c r="J33" s="7">
        <v>2048.0</v>
      </c>
      <c r="K33" s="8">
        <f>I33-J33</f>
        <v>-4.5</v>
      </c>
      <c r="L33" s="9">
        <f>K33/J33</f>
        <v>-0.002197265625</v>
      </c>
      <c r="M33" s="8">
        <f>H33*(360/E33)</f>
        <v>359.208984375</v>
      </c>
      <c r="N33" s="8">
        <f>M33-360</f>
        <v>-0.791015625</v>
      </c>
      <c r="O33" s="8">
        <v>13.058</v>
      </c>
      <c r="P33" s="7">
        <v>0</v>
      </c>
    </row>
    <row r="34" ht="20" customHeight="1">
      <c r="A34" s="11">
        <v>24</v>
      </c>
      <c r="B34" s="10" t="inlineStr">
        <is>
          <t>AMT_X4_4.mat</t>
        </is>
      </c>
      <c r="C34" s="11" t="inlineStr">
        <is>
          <t>X4</t>
        </is>
      </c>
      <c r="D34" s="12">
        <v>4</v>
      </c>
      <c r="E34" s="12">
        <v>8192.0</v>
      </c>
      <c r="F34" s="12">
        <v>0.0</v>
      </c>
      <c r="G34" s="12">
        <v>8190.0</v>
      </c>
      <c r="H34" s="12">
        <f>G34-F34</f>
        <v>8190.0</v>
      </c>
      <c r="I34" s="13">
        <f>H34/D34</f>
        <v>2047.5</v>
      </c>
      <c r="J34" s="12">
        <v>2048.0</v>
      </c>
      <c r="K34" s="13">
        <f>I34-J34</f>
        <v>-0.5</v>
      </c>
      <c r="L34" s="14">
        <f>K34/J34</f>
        <v>-0.000244140625</v>
      </c>
      <c r="M34" s="13">
        <f>H34*(360/E34)</f>
        <v>359.912109375</v>
      </c>
      <c r="N34" s="13">
        <f>M34-360</f>
        <v>-0.087890625</v>
      </c>
      <c r="O34" s="13">
        <v>12.575</v>
      </c>
      <c r="P34" s="12">
        <v>1</v>
      </c>
    </row>
    <row r="35" ht="20" customHeight="1">
      <c r="A35" s="6">
        <v>25</v>
      </c>
      <c r="B35" s="5" t="inlineStr">
        <is>
          <t>AMT_X4_5.mat</t>
        </is>
      </c>
      <c r="C35" s="6" t="inlineStr">
        <is>
          <t>X4</t>
        </is>
      </c>
      <c r="D35" s="7">
        <v>4</v>
      </c>
      <c r="E35" s="7">
        <v>8192.0</v>
      </c>
      <c r="F35" s="7">
        <v>0.0</v>
      </c>
      <c r="G35" s="7">
        <v>8263.0</v>
      </c>
      <c r="H35" s="7">
        <f>G35-F35</f>
        <v>8263.0</v>
      </c>
      <c r="I35" s="8">
        <f>H35/D35</f>
        <v>2065.75</v>
      </c>
      <c r="J35" s="7">
        <v>2048.0</v>
      </c>
      <c r="K35" s="8">
        <f>I35-J35</f>
        <v>17.75</v>
      </c>
      <c r="L35" s="9">
        <f>K35/J35</f>
        <v>0.0086669921875</v>
      </c>
      <c r="M35" s="8">
        <f>H35*(360/E35)</f>
        <v>363.1201171875</v>
      </c>
      <c r="N35" s="8">
        <f>M35-360</f>
        <v>3.1201171875</v>
      </c>
      <c r="O35" s="8">
        <v>13.312</v>
      </c>
      <c r="P35" s="7">
        <v>0</v>
      </c>
    </row>
    <row r="36" ht="20" customHeight="1">
      <c r="A36" s="11">
        <v>26</v>
      </c>
      <c r="B36" s="10" t="inlineStr">
        <is>
          <t>AMT_X4_6.mat</t>
        </is>
      </c>
      <c r="C36" s="11" t="inlineStr">
        <is>
          <t>X4</t>
        </is>
      </c>
      <c r="D36" s="12">
        <v>4</v>
      </c>
      <c r="E36" s="12">
        <v>8192.0</v>
      </c>
      <c r="F36" s="12">
        <v>0.0</v>
      </c>
      <c r="G36" s="12">
        <v>8239.0</v>
      </c>
      <c r="H36" s="12">
        <f>G36-F36</f>
        <v>8239.0</v>
      </c>
      <c r="I36" s="13">
        <f>H36/D36</f>
        <v>2059.75</v>
      </c>
      <c r="J36" s="12">
        <v>2048.0</v>
      </c>
      <c r="K36" s="13">
        <f>I36-J36</f>
        <v>11.75</v>
      </c>
      <c r="L36" s="14">
        <f>K36/J36</f>
        <v>0.0057373046875</v>
      </c>
      <c r="M36" s="13">
        <f>H36*(360/E36)</f>
        <v>362.0654296875</v>
      </c>
      <c r="N36" s="13">
        <f>M36-360</f>
        <v>2.0654296875</v>
      </c>
      <c r="O36" s="13">
        <v>13.573</v>
      </c>
      <c r="P36" s="12">
        <v>0</v>
      </c>
    </row>
    <row r="37" ht="20" customHeight="1">
      <c r="A37" s="6">
        <v>27</v>
      </c>
      <c r="B37" s="5" t="inlineStr">
        <is>
          <t>AMT_X4_7.mat</t>
        </is>
      </c>
      <c r="C37" s="6" t="inlineStr">
        <is>
          <t>X4</t>
        </is>
      </c>
      <c r="D37" s="7">
        <v>4</v>
      </c>
      <c r="E37" s="7">
        <v>8192.0</v>
      </c>
      <c r="F37" s="7">
        <v>0.0</v>
      </c>
      <c r="G37" s="7">
        <v>8342.0</v>
      </c>
      <c r="H37" s="7">
        <f>G37-F37</f>
        <v>8342.0</v>
      </c>
      <c r="I37" s="8">
        <f>H37/D37</f>
        <v>2085.5</v>
      </c>
      <c r="J37" s="7">
        <v>2048.0</v>
      </c>
      <c r="K37" s="8">
        <f>I37-J37</f>
        <v>37.5</v>
      </c>
      <c r="L37" s="9">
        <f>K37/J37</f>
        <v>0.018310546875</v>
      </c>
      <c r="M37" s="8">
        <f>H37*(360/E37)</f>
        <v>366.591796875</v>
      </c>
      <c r="N37" s="8">
        <f>M37-360</f>
        <v>6.591796875</v>
      </c>
      <c r="O37" s="8">
        <v>13.806</v>
      </c>
      <c r="P37" s="7">
        <v>0</v>
      </c>
    </row>
    <row r="38" ht="20" customHeight="1">
      <c r="A38" s="11">
        <v>28</v>
      </c>
      <c r="B38" s="10" t="inlineStr">
        <is>
          <t>AMT_X4_8.mat</t>
        </is>
      </c>
      <c r="C38" s="11" t="inlineStr">
        <is>
          <t>X4</t>
        </is>
      </c>
      <c r="D38" s="12">
        <v>4</v>
      </c>
      <c r="E38" s="12">
        <v>8192.0</v>
      </c>
      <c r="F38" s="12">
        <v>1.0</v>
      </c>
      <c r="G38" s="12">
        <v>8258.0</v>
      </c>
      <c r="H38" s="12">
        <f>G38-F38</f>
        <v>8257.0</v>
      </c>
      <c r="I38" s="13">
        <f>H38/D38</f>
        <v>2064.25</v>
      </c>
      <c r="J38" s="12">
        <v>2048.0</v>
      </c>
      <c r="K38" s="13">
        <f>I38-J38</f>
        <v>16.25</v>
      </c>
      <c r="L38" s="14">
        <f>K38/J38</f>
        <v>0.0079345703125</v>
      </c>
      <c r="M38" s="13">
        <f>H38*(360/E38)</f>
        <v>362.8564453125</v>
      </c>
      <c r="N38" s="13">
        <f>M38-360</f>
        <v>2.8564453125</v>
      </c>
      <c r="O38" s="13">
        <v>12.043</v>
      </c>
      <c r="P38" s="12">
        <v>0</v>
      </c>
    </row>
    <row r="39" ht="20" customHeight="1">
      <c r="A39" s="6">
        <v>29</v>
      </c>
      <c r="B39" s="5" t="inlineStr">
        <is>
          <t>AMT_X4_9.mat</t>
        </is>
      </c>
      <c r="C39" s="6" t="inlineStr">
        <is>
          <t>X4</t>
        </is>
      </c>
      <c r="D39" s="7">
        <v>4</v>
      </c>
      <c r="E39" s="7">
        <v>8192.0</v>
      </c>
      <c r="F39" s="7">
        <v>0.0</v>
      </c>
      <c r="G39" s="7">
        <v>8253.0</v>
      </c>
      <c r="H39" s="7">
        <f>G39-F39</f>
        <v>8253.0</v>
      </c>
      <c r="I39" s="8">
        <f>H39/D39</f>
        <v>2063.25</v>
      </c>
      <c r="J39" s="7">
        <v>2048.0</v>
      </c>
      <c r="K39" s="8">
        <f>I39-J39</f>
        <v>15.25</v>
      </c>
      <c r="L39" s="9">
        <f>K39/J39</f>
        <v>0.0074462890625</v>
      </c>
      <c r="M39" s="8">
        <f>H39*(360/E39)</f>
        <v>362.6806640625</v>
      </c>
      <c r="N39" s="8">
        <f>M39-360</f>
        <v>2.6806640625</v>
      </c>
      <c r="O39" s="8">
        <v>15.068</v>
      </c>
      <c r="P39" s="7">
        <v>0</v>
      </c>
    </row>
    <row r="40" ht="20" customHeight="1">
      <c r="A40" s="11">
        <v>30</v>
      </c>
      <c r="B40" s="10" t="inlineStr">
        <is>
          <t>AMT_X4_10.mat</t>
        </is>
      </c>
      <c r="C40" s="11" t="inlineStr">
        <is>
          <t>X4</t>
        </is>
      </c>
      <c r="D40" s="12">
        <v>4</v>
      </c>
      <c r="E40" s="12">
        <v>8192.0</v>
      </c>
      <c r="F40" s="12">
        <v>0.0</v>
      </c>
      <c r="G40" s="12">
        <v>8267.0</v>
      </c>
      <c r="H40" s="12">
        <f>G40-F40</f>
        <v>8267.0</v>
      </c>
      <c r="I40" s="13">
        <f>H40/D40</f>
        <v>2066.75</v>
      </c>
      <c r="J40" s="12">
        <v>2048.0</v>
      </c>
      <c r="K40" s="13">
        <f>I40-J40</f>
        <v>18.75</v>
      </c>
      <c r="L40" s="14">
        <f>K40/J40</f>
        <v>0.0091552734375</v>
      </c>
      <c r="M40" s="13">
        <f>H40*(360/E40)</f>
        <v>363.2958984375</v>
      </c>
      <c r="N40" s="13">
        <f>M40-360</f>
        <v>3.2958984375</v>
      </c>
      <c r="O40" s="13">
        <v>12.529</v>
      </c>
      <c r="P40" s="12">
        <v>0</v>
      </c>
    </row>
    <row r="41" ht="21" customHeight="1">
      <c r="A41" s="15" t="inlineStr">
        <is>
          <t>AVG</t>
        </is>
      </c>
      <c r="B41" s="15" t="inlineStr">
        <is>
          <t>AMT103-V X4 Mean</t>
        </is>
      </c>
      <c r="C41" s="15" t="inlineStr">
        <is>
          <t>X4</t>
        </is>
      </c>
      <c r="D41" s="15" t="inlineStr">
        <is>
          <t/>
        </is>
      </c>
      <c r="E41" s="15" t="inlineStr">
        <is>
          <t/>
        </is>
      </c>
      <c r="F41" s="15" t="inlineStr">
        <is>
          <t/>
        </is>
      </c>
      <c r="G41" s="15" t="inlineStr">
        <is>
          <t/>
        </is>
      </c>
      <c r="H41" s="17">
        <f>AVERAGE(H31:H40)</f>
        <v>8252.5</v>
      </c>
      <c r="I41" s="17">
        <f>AVERAGE(I31:I40)</f>
        <v>2063.125</v>
      </c>
      <c r="J41" s="16">
        <v>2048.0</v>
      </c>
      <c r="K41" s="17">
        <f>AVERAGE(K31:K40)</f>
        <v>15.125</v>
      </c>
      <c r="L41" s="18">
        <f>AVERAGE(L31:L40)</f>
        <v>0.00738525390625</v>
      </c>
      <c r="M41" s="17">
        <f>AVERAGE(M31:M40)</f>
        <v>362.65869140625</v>
      </c>
      <c r="N41" s="17">
        <f>AVERAGE(N31:N40)</f>
        <v>2.65869140625</v>
      </c>
      <c r="O41" s="17">
        <f>AVERAGE(O31:O40)</f>
        <v>13.4041</v>
      </c>
      <c r="P41" s="15" t="inlineStr">
        <is>
          <t/>
        </is>
      </c>
    </row>
    <row r="42" ht="21" customHeight="1">
      <c r="A42" s="24" t="inlineStr">
        <is>
          <t>STDEV</t>
        </is>
      </c>
      <c r="B42" s="24" t="inlineStr">
        <is>
          <t>AMT103-V X4 Std Dev (σ)</t>
        </is>
      </c>
      <c r="C42" s="24" t="inlineStr">
        <is>
          <t>X4</t>
        </is>
      </c>
      <c r="D42" s="24" t="inlineStr">
        <is>
          <t/>
        </is>
      </c>
      <c r="E42" s="24" t="inlineStr">
        <is>
          <t/>
        </is>
      </c>
      <c r="F42" s="24" t="inlineStr">
        <is>
          <t/>
        </is>
      </c>
      <c r="G42" s="24" t="inlineStr">
        <is>
          <t/>
        </is>
      </c>
      <c r="H42" s="25">
        <f>STDEV.S(H31:H40)</f>
        <v>58.757978181690355</v>
      </c>
      <c r="I42" s="25">
        <f>STDEV.S(I31:I40)</f>
        <v>14.689494545422589</v>
      </c>
      <c r="J42" s="24" t="inlineStr">
        <is>
          <t>-</t>
        </is>
      </c>
      <c r="K42" s="25">
        <f>STDEV.S(K31:K40)</f>
        <v>14.689494545422589</v>
      </c>
      <c r="L42" s="26">
        <f>STDEV.S(L31:L40)</f>
        <v>0.007172604758507123</v>
      </c>
      <c r="M42" s="25">
        <f>STDEV.S(M31:M40)</f>
        <v>2.5821377130625645</v>
      </c>
      <c r="N42" s="25">
        <f>STDEV.S(N31:N40)</f>
        <v>2.5821377130625645</v>
      </c>
      <c r="O42" s="25">
        <f>STDEV.S(O31:O40)</f>
        <v>0.958120202387061</v>
      </c>
      <c r="P42" s="24" t="inlineStr">
        <is>
          <t/>
        </is>
      </c>
    </row>
    <row r="43" ht="8" customHeight="1">
    </row>
    <row r="44" ht="23" customHeight="1">
      <c r="A44" s="15" t="inlineStr">
        <is>
          <t>GRAND AVG</t>
        </is>
      </c>
      <c r="B44" s="15" t="inlineStr">
        <is>
          <t>AMT103-V (All 30 Trials)</t>
        </is>
      </c>
      <c r="C44" s="15" t="inlineStr">
        <is>
          <t>All Modes</t>
        </is>
      </c>
      <c r="D44" s="15" t="inlineStr">
        <is>
          <t/>
        </is>
      </c>
      <c r="E44" s="15" t="inlineStr">
        <is>
          <t/>
        </is>
      </c>
      <c r="F44" s="15" t="inlineStr">
        <is>
          <t/>
        </is>
      </c>
      <c r="G44" s="15" t="inlineStr">
        <is>
          <t/>
        </is>
      </c>
      <c r="H44" s="15" t="inlineStr">
        <is>
          <t/>
        </is>
      </c>
      <c r="I44" s="17">
        <v>2058.5916666666667</v>
      </c>
      <c r="J44" s="16">
        <v>2048.0</v>
      </c>
      <c r="K44" s="17">
        <v>10.591666666666697</v>
      </c>
      <c r="L44" s="18">
        <v>0.005171712239583333</v>
      </c>
      <c r="M44" s="17">
        <v>361.86181640625</v>
      </c>
      <c r="N44" s="17">
        <v>1.86181640625</v>
      </c>
      <c r="O44" s="17">
        <v>14.0648</v>
      </c>
      <c r="P44" s="15" t="inlineStr">
        <is>
          <t/>
        </is>
      </c>
    </row>
    <row r="45" ht="23" customHeight="1">
      <c r="A45" s="27" t="inlineStr">
        <is>
          <t>GRAND STDEV</t>
        </is>
      </c>
      <c r="B45" s="27" t="inlineStr">
        <is>
          <t>AMT103-V Overall Std Dev (σ)</t>
        </is>
      </c>
      <c r="C45" s="27" t="inlineStr">
        <is>
          <t>All Modes</t>
        </is>
      </c>
      <c r="D45" s="27" t="inlineStr">
        <is>
          <t/>
        </is>
      </c>
      <c r="E45" s="27" t="inlineStr">
        <is>
          <t/>
        </is>
      </c>
      <c r="F45" s="27" t="inlineStr">
        <is>
          <t/>
        </is>
      </c>
      <c r="G45" s="27" t="inlineStr">
        <is>
          <t/>
        </is>
      </c>
      <c r="H45" s="27" t="inlineStr">
        <is>
          <t/>
        </is>
      </c>
      <c r="I45" s="28">
        <v>15.566803114172231</v>
      </c>
      <c r="J45" s="27" t="inlineStr">
        <is>
          <t>-</t>
        </is>
      </c>
      <c r="K45" s="28">
        <v>15.566803114172231</v>
      </c>
      <c r="L45" s="29">
        <v>0.00760097808309191</v>
      </c>
      <c r="M45" s="28">
        <v>2.7363521099130876</v>
      </c>
      <c r="N45" s="28">
        <v>2.7363521099130876</v>
      </c>
      <c r="O45" s="28">
        <v>1.377820953284695</v>
      </c>
      <c r="P45" s="27" t="inlineStr">
        <is>
          <t/>
        </is>
      </c>
    </row>
  </sheetData>
  <mergeCells count="2">
    <mergeCell ref="A1:P1"/>
    <mergeCell ref="A2:P2"/>
  </mergeCells>
</worksheet>
</file>

<file path=xl/worksheets/sheet3.xml><?xml version="1.0" encoding="utf-8"?>
<worksheet xmlns="http://schemas.openxmlformats.org/spreadsheetml/2006/main">
  <cols>
    <col min="1" max="1" width="10" customWidth="1"/>
    <col min="2" max="2" width="18" customWidth="1"/>
    <col min="3" max="3" width="8" customWidth="1"/>
    <col min="4" max="4" width="10" customWidth="1"/>
    <col min="5" max="5" width="14" customWidth="1"/>
    <col min="6" max="6" width="18" customWidth="1"/>
    <col min="7" max="7" width="20" customWidth="1"/>
    <col min="8" max="8" width="18" customWidth="1"/>
    <col min="9" max="9" width="20" customWidth="1"/>
    <col min="10" max="10" width="14" customWidth="1"/>
    <col min="11" max="11" width="16" customWidth="1"/>
    <col min="12" max="12" width="15" customWidth="1"/>
    <col min="13" max="13" width="18" customWidth="1"/>
    <col min="14" max="14" width="18" customWidth="1"/>
    <col min="15" max="15" width="14" customWidth="1"/>
    <col min="16" max="16" width="15" customWidth="1"/>
  </cols>
  <sheetData>
    <row r="1" ht="28" customHeight="1">
      <c r="A1" s="1" t="inlineStr">
        <is>
          <t>BOURNS PEC11R — 360° REVOLUTION &amp; PPR RUN-BY-RUN ANALYSIS</t>
        </is>
      </c>
    </row>
    <row r="2" ht="18" customHeight="1">
      <c r="A2" s="2" t="inlineStr">
        <is>
          <t>Detailed measurement log for 30 single-revolution runs (10 trials each at X1, X2, and X4 decoding)</t>
        </is>
      </c>
    </row>
    <row r="3" ht="10" customHeight="1">
    </row>
    <row r="4" ht="26" customHeight="1">
      <c r="A4" s="3" t="inlineStr">
        <is>
          <t>Trial #</t>
        </is>
      </c>
      <c r="B4" s="3" t="inlineStr">
        <is>
          <t>File Name</t>
        </is>
      </c>
      <c r="C4" s="3" t="inlineStr">
        <is>
          <t>Mode</t>
        </is>
      </c>
      <c r="D4" s="3" t="inlineStr">
        <is>
          <t>Mult (M)</t>
        </is>
      </c>
      <c r="E4" s="3" t="inlineStr">
        <is>
          <t>Nominal CPR</t>
        </is>
      </c>
      <c r="F4" s="3" t="inlineStr">
        <is>
          <t>Initial Count (x0)</t>
        </is>
      </c>
      <c r="G4" s="3" t="inlineStr">
        <is>
          <t>Plateau Count (x_end)</t>
        </is>
      </c>
      <c r="H4" s="3" t="inlineStr">
        <is>
          <t>Net 360° Count (ΔN)</t>
        </is>
      </c>
      <c r="I4" s="3" t="inlineStr">
        <is>
          <t>Calculated PPR (ΔN/M)</t>
        </is>
      </c>
      <c r="J4" s="3" t="inlineStr">
        <is>
          <t>Nominal PPR</t>
        </is>
      </c>
      <c r="K4" s="3" t="inlineStr">
        <is>
          <t>PPR Diff (Counts)</t>
        </is>
      </c>
      <c r="L4" s="3" t="inlineStr">
        <is>
          <t>PPR Error (%)</t>
        </is>
      </c>
      <c r="M4" s="3" t="inlineStr">
        <is>
          <t>Measured Angle (°)</t>
        </is>
      </c>
      <c r="N4" s="3" t="inlineStr">
        <is>
          <t>Angle Error (°)</t>
        </is>
      </c>
      <c r="O4" s="3" t="inlineStr">
        <is>
          <t>Duration (s)</t>
        </is>
      </c>
      <c r="P4" s="3" t="inlineStr">
        <is>
          <t>Backlash Steps</t>
        </is>
      </c>
    </row>
    <row r="5" ht="20" customHeight="1">
      <c r="A5" s="6">
        <v>1</v>
      </c>
      <c r="B5" s="5" t="inlineStr">
        <is>
          <t>bourns_X1_1.mat</t>
        </is>
      </c>
      <c r="C5" s="6" t="inlineStr">
        <is>
          <t>X1</t>
        </is>
      </c>
      <c r="D5" s="7">
        <v>1</v>
      </c>
      <c r="E5" s="7">
        <v>24.0</v>
      </c>
      <c r="F5" s="7">
        <v>0.0</v>
      </c>
      <c r="G5" s="7">
        <v>24.0</v>
      </c>
      <c r="H5" s="7">
        <f>G5-F5</f>
        <v>24.0</v>
      </c>
      <c r="I5" s="8">
        <f>H5/D5</f>
        <v>24.0</v>
      </c>
      <c r="J5" s="7">
        <v>24.0</v>
      </c>
      <c r="K5" s="8">
        <f>I5-J5</f>
        <v>0.0</v>
      </c>
      <c r="L5" s="9">
        <f>K5/J5</f>
        <v>0.0</v>
      </c>
      <c r="M5" s="8">
        <f>H5*(360/E5)</f>
        <v>360.0</v>
      </c>
      <c r="N5" s="8">
        <f>M5-360</f>
        <v>0.0</v>
      </c>
      <c r="O5" s="8">
        <v>50.8</v>
      </c>
      <c r="P5" s="7">
        <v>0</v>
      </c>
    </row>
    <row r="6" ht="20" customHeight="1">
      <c r="A6" s="11">
        <v>2</v>
      </c>
      <c r="B6" s="10" t="inlineStr">
        <is>
          <t>bourns_X1_2.mat</t>
        </is>
      </c>
      <c r="C6" s="11" t="inlineStr">
        <is>
          <t>X1</t>
        </is>
      </c>
      <c r="D6" s="12">
        <v>1</v>
      </c>
      <c r="E6" s="12">
        <v>24.0</v>
      </c>
      <c r="F6" s="12">
        <v>0.0</v>
      </c>
      <c r="G6" s="12">
        <v>24.0</v>
      </c>
      <c r="H6" s="12">
        <f>G6-F6</f>
        <v>24.0</v>
      </c>
      <c r="I6" s="13">
        <f>H6/D6</f>
        <v>24.0</v>
      </c>
      <c r="J6" s="12">
        <v>24.0</v>
      </c>
      <c r="K6" s="13">
        <f>I6-J6</f>
        <v>0.0</v>
      </c>
      <c r="L6" s="14">
        <f>K6/J6</f>
        <v>0.0</v>
      </c>
      <c r="M6" s="13">
        <f>H6*(360/E6)</f>
        <v>360.0</v>
      </c>
      <c r="N6" s="13">
        <f>M6-360</f>
        <v>0.0</v>
      </c>
      <c r="O6" s="13">
        <v>31.992</v>
      </c>
      <c r="P6" s="12">
        <v>1</v>
      </c>
    </row>
    <row r="7" ht="20" customHeight="1">
      <c r="A7" s="6">
        <v>3</v>
      </c>
      <c r="B7" s="5" t="inlineStr">
        <is>
          <t>bourns_X1_3.mat</t>
        </is>
      </c>
      <c r="C7" s="6" t="inlineStr">
        <is>
          <t>X1</t>
        </is>
      </c>
      <c r="D7" s="7">
        <v>1</v>
      </c>
      <c r="E7" s="7">
        <v>24.0</v>
      </c>
      <c r="F7" s="7">
        <v>0.0</v>
      </c>
      <c r="G7" s="7">
        <v>24.0</v>
      </c>
      <c r="H7" s="7">
        <f>G7-F7</f>
        <v>24.0</v>
      </c>
      <c r="I7" s="8">
        <f>H7/D7</f>
        <v>24.0</v>
      </c>
      <c r="J7" s="7">
        <v>24.0</v>
      </c>
      <c r="K7" s="8">
        <f>I7-J7</f>
        <v>0.0</v>
      </c>
      <c r="L7" s="9">
        <f>K7/J7</f>
        <v>0.0</v>
      </c>
      <c r="M7" s="8">
        <f>H7*(360/E7)</f>
        <v>360.0</v>
      </c>
      <c r="N7" s="8">
        <f>M7-360</f>
        <v>0.0</v>
      </c>
      <c r="O7" s="8">
        <v>29.751</v>
      </c>
      <c r="P7" s="7">
        <v>0</v>
      </c>
    </row>
    <row r="8" ht="20" customHeight="1">
      <c r="A8" s="11">
        <v>4</v>
      </c>
      <c r="B8" s="10" t="inlineStr">
        <is>
          <t>bourns_X1_4.mat</t>
        </is>
      </c>
      <c r="C8" s="11" t="inlineStr">
        <is>
          <t>X1</t>
        </is>
      </c>
      <c r="D8" s="12">
        <v>1</v>
      </c>
      <c r="E8" s="12">
        <v>24.0</v>
      </c>
      <c r="F8" s="12">
        <v>0.0</v>
      </c>
      <c r="G8" s="12">
        <v>24.0</v>
      </c>
      <c r="H8" s="12">
        <f>G8-F8</f>
        <v>24.0</v>
      </c>
      <c r="I8" s="13">
        <f>H8/D8</f>
        <v>24.0</v>
      </c>
      <c r="J8" s="12">
        <v>24.0</v>
      </c>
      <c r="K8" s="13">
        <f>I8-J8</f>
        <v>0.0</v>
      </c>
      <c r="L8" s="14">
        <f>K8/J8</f>
        <v>0.0</v>
      </c>
      <c r="M8" s="13">
        <f>H8*(360/E8)</f>
        <v>360.0</v>
      </c>
      <c r="N8" s="13">
        <f>M8-360</f>
        <v>0.0</v>
      </c>
      <c r="O8" s="13">
        <v>29.995</v>
      </c>
      <c r="P8" s="12">
        <v>0</v>
      </c>
    </row>
    <row r="9" ht="20" customHeight="1">
      <c r="A9" s="6">
        <v>5</v>
      </c>
      <c r="B9" s="5" t="inlineStr">
        <is>
          <t>bourns_X1_5.mat</t>
        </is>
      </c>
      <c r="C9" s="6" t="inlineStr">
        <is>
          <t>X1</t>
        </is>
      </c>
      <c r="D9" s="7">
        <v>1</v>
      </c>
      <c r="E9" s="7">
        <v>24.0</v>
      </c>
      <c r="F9" s="7">
        <v>0.0</v>
      </c>
      <c r="G9" s="7">
        <v>24.0</v>
      </c>
      <c r="H9" s="7">
        <f>G9-F9</f>
        <v>24.0</v>
      </c>
      <c r="I9" s="8">
        <f>H9/D9</f>
        <v>24.0</v>
      </c>
      <c r="J9" s="7">
        <v>24.0</v>
      </c>
      <c r="K9" s="8">
        <f>I9-J9</f>
        <v>0.0</v>
      </c>
      <c r="L9" s="9">
        <f>K9/J9</f>
        <v>0.0</v>
      </c>
      <c r="M9" s="8">
        <f>H9*(360/E9)</f>
        <v>360.0</v>
      </c>
      <c r="N9" s="8">
        <f>M9-360</f>
        <v>0.0</v>
      </c>
      <c r="O9" s="8">
        <v>30.212</v>
      </c>
      <c r="P9" s="7">
        <v>0</v>
      </c>
    </row>
    <row r="10" ht="20" customHeight="1">
      <c r="A10" s="11">
        <v>6</v>
      </c>
      <c r="B10" s="10" t="inlineStr">
        <is>
          <t>bourns_X1_6.mat</t>
        </is>
      </c>
      <c r="C10" s="11" t="inlineStr">
        <is>
          <t>X1</t>
        </is>
      </c>
      <c r="D10" s="12">
        <v>1</v>
      </c>
      <c r="E10" s="12">
        <v>24.0</v>
      </c>
      <c r="F10" s="12">
        <v>0.0</v>
      </c>
      <c r="G10" s="12">
        <v>24.0</v>
      </c>
      <c r="H10" s="12">
        <f>G10-F10</f>
        <v>24.0</v>
      </c>
      <c r="I10" s="13">
        <f>H10/D10</f>
        <v>24.0</v>
      </c>
      <c r="J10" s="12">
        <v>24.0</v>
      </c>
      <c r="K10" s="13">
        <f>I10-J10</f>
        <v>0.0</v>
      </c>
      <c r="L10" s="14">
        <f>K10/J10</f>
        <v>0.0</v>
      </c>
      <c r="M10" s="13">
        <f>H10*(360/E10)</f>
        <v>360.0</v>
      </c>
      <c r="N10" s="13">
        <f>M10-360</f>
        <v>0.0</v>
      </c>
      <c r="O10" s="13">
        <v>29.734</v>
      </c>
      <c r="P10" s="12">
        <v>0</v>
      </c>
    </row>
    <row r="11" ht="20" customHeight="1">
      <c r="A11" s="6">
        <v>7</v>
      </c>
      <c r="B11" s="5" t="inlineStr">
        <is>
          <t>bourns_X1_7.mat</t>
        </is>
      </c>
      <c r="C11" s="6" t="inlineStr">
        <is>
          <t>X1</t>
        </is>
      </c>
      <c r="D11" s="7">
        <v>1</v>
      </c>
      <c r="E11" s="7">
        <v>24.0</v>
      </c>
      <c r="F11" s="7">
        <v>0.0</v>
      </c>
      <c r="G11" s="7">
        <v>24.0</v>
      </c>
      <c r="H11" s="7">
        <f>G11-F11</f>
        <v>24.0</v>
      </c>
      <c r="I11" s="8">
        <f>H11/D11</f>
        <v>24.0</v>
      </c>
      <c r="J11" s="7">
        <v>24.0</v>
      </c>
      <c r="K11" s="8">
        <f>I11-J11</f>
        <v>0.0</v>
      </c>
      <c r="L11" s="9">
        <f>K11/J11</f>
        <v>0.0</v>
      </c>
      <c r="M11" s="8">
        <f>H11*(360/E11)</f>
        <v>360.0</v>
      </c>
      <c r="N11" s="8">
        <f>M11-360</f>
        <v>0.0</v>
      </c>
      <c r="O11" s="8">
        <v>30.283</v>
      </c>
      <c r="P11" s="7">
        <v>0</v>
      </c>
    </row>
    <row r="12" ht="20" customHeight="1">
      <c r="A12" s="11">
        <v>8</v>
      </c>
      <c r="B12" s="10" t="inlineStr">
        <is>
          <t>bourns_X1_8.mat</t>
        </is>
      </c>
      <c r="C12" s="11" t="inlineStr">
        <is>
          <t>X1</t>
        </is>
      </c>
      <c r="D12" s="12">
        <v>1</v>
      </c>
      <c r="E12" s="12">
        <v>24.0</v>
      </c>
      <c r="F12" s="12">
        <v>0.0</v>
      </c>
      <c r="G12" s="12">
        <v>24.0</v>
      </c>
      <c r="H12" s="12">
        <f>G12-F12</f>
        <v>24.0</v>
      </c>
      <c r="I12" s="13">
        <f>H12/D12</f>
        <v>24.0</v>
      </c>
      <c r="J12" s="12">
        <v>24.0</v>
      </c>
      <c r="K12" s="13">
        <f>I12-J12</f>
        <v>0.0</v>
      </c>
      <c r="L12" s="14">
        <f>K12/J12</f>
        <v>0.0</v>
      </c>
      <c r="M12" s="13">
        <f>H12*(360/E12)</f>
        <v>360.0</v>
      </c>
      <c r="N12" s="13">
        <f>M12-360</f>
        <v>0.0</v>
      </c>
      <c r="O12" s="13">
        <v>30.231</v>
      </c>
      <c r="P12" s="12">
        <v>0</v>
      </c>
    </row>
    <row r="13" ht="20" customHeight="1">
      <c r="A13" s="6">
        <v>9</v>
      </c>
      <c r="B13" s="5" t="inlineStr">
        <is>
          <t>bourns_X1_9.mat</t>
        </is>
      </c>
      <c r="C13" s="6" t="inlineStr">
        <is>
          <t>X1</t>
        </is>
      </c>
      <c r="D13" s="7">
        <v>1</v>
      </c>
      <c r="E13" s="7">
        <v>24.0</v>
      </c>
      <c r="F13" s="7">
        <v>0.0</v>
      </c>
      <c r="G13" s="7">
        <v>24.0</v>
      </c>
      <c r="H13" s="7">
        <f>G13-F13</f>
        <v>24.0</v>
      </c>
      <c r="I13" s="8">
        <f>H13/D13</f>
        <v>24.0</v>
      </c>
      <c r="J13" s="7">
        <v>24.0</v>
      </c>
      <c r="K13" s="8">
        <f>I13-J13</f>
        <v>0.0</v>
      </c>
      <c r="L13" s="9">
        <f>K13/J13</f>
        <v>0.0</v>
      </c>
      <c r="M13" s="8">
        <f>H13*(360/E13)</f>
        <v>360.0</v>
      </c>
      <c r="N13" s="8">
        <f>M13-360</f>
        <v>0.0</v>
      </c>
      <c r="O13" s="8">
        <v>29.984</v>
      </c>
      <c r="P13" s="7">
        <v>0</v>
      </c>
    </row>
    <row r="14" ht="20" customHeight="1">
      <c r="A14" s="11">
        <v>10</v>
      </c>
      <c r="B14" s="10" t="inlineStr">
        <is>
          <t>bourns_X1_10.mat</t>
        </is>
      </c>
      <c r="C14" s="11" t="inlineStr">
        <is>
          <t>X1</t>
        </is>
      </c>
      <c r="D14" s="12">
        <v>1</v>
      </c>
      <c r="E14" s="12">
        <v>24.0</v>
      </c>
      <c r="F14" s="12">
        <v>0.0</v>
      </c>
      <c r="G14" s="12">
        <v>24.0</v>
      </c>
      <c r="H14" s="12">
        <f>G14-F14</f>
        <v>24.0</v>
      </c>
      <c r="I14" s="13">
        <f>H14/D14</f>
        <v>24.0</v>
      </c>
      <c r="J14" s="12">
        <v>24.0</v>
      </c>
      <c r="K14" s="13">
        <f>I14-J14</f>
        <v>0.0</v>
      </c>
      <c r="L14" s="14">
        <f>K14/J14</f>
        <v>0.0</v>
      </c>
      <c r="M14" s="13">
        <f>H14*(360/E14)</f>
        <v>360.0</v>
      </c>
      <c r="N14" s="13">
        <f>M14-360</f>
        <v>0.0</v>
      </c>
      <c r="O14" s="13">
        <v>31.238</v>
      </c>
      <c r="P14" s="12">
        <v>0</v>
      </c>
    </row>
    <row r="15" ht="21" customHeight="1">
      <c r="A15" s="15" t="inlineStr">
        <is>
          <t>AVG</t>
        </is>
      </c>
      <c r="B15" s="15" t="inlineStr">
        <is>
          <t>Bourns PEC11R X1 Mean</t>
        </is>
      </c>
      <c r="C15" s="15" t="inlineStr">
        <is>
          <t>X1</t>
        </is>
      </c>
      <c r="D15" s="15" t="inlineStr">
        <is>
          <t/>
        </is>
      </c>
      <c r="E15" s="15" t="inlineStr">
        <is>
          <t/>
        </is>
      </c>
      <c r="F15" s="15" t="inlineStr">
        <is>
          <t/>
        </is>
      </c>
      <c r="G15" s="15" t="inlineStr">
        <is>
          <t/>
        </is>
      </c>
      <c r="H15" s="17">
        <f>AVERAGE(H5:H14)</f>
        <v>24.0</v>
      </c>
      <c r="I15" s="17">
        <f>AVERAGE(I5:I14)</f>
        <v>24.0</v>
      </c>
      <c r="J15" s="16">
        <v>24.0</v>
      </c>
      <c r="K15" s="17">
        <f>AVERAGE(K5:K14)</f>
        <v>0.0</v>
      </c>
      <c r="L15" s="18">
        <f>AVERAGE(L5:L14)</f>
        <v>0.0</v>
      </c>
      <c r="M15" s="17">
        <f>AVERAGE(M5:M14)</f>
        <v>360.0</v>
      </c>
      <c r="N15" s="17">
        <f>AVERAGE(N5:N14)</f>
        <v>0.0</v>
      </c>
      <c r="O15" s="17">
        <f>AVERAGE(O5:O14)</f>
        <v>32.422000000000004</v>
      </c>
      <c r="P15" s="15" t="inlineStr">
        <is>
          <t/>
        </is>
      </c>
    </row>
    <row r="16" ht="21" customHeight="1">
      <c r="A16" s="24" t="inlineStr">
        <is>
          <t>STDEV</t>
        </is>
      </c>
      <c r="B16" s="24" t="inlineStr">
        <is>
          <t>Bourns PEC11R X1 Std Dev (σ)</t>
        </is>
      </c>
      <c r="C16" s="24" t="inlineStr">
        <is>
          <t>X1</t>
        </is>
      </c>
      <c r="D16" s="24" t="inlineStr">
        <is>
          <t/>
        </is>
      </c>
      <c r="E16" s="24" t="inlineStr">
        <is>
          <t/>
        </is>
      </c>
      <c r="F16" s="24" t="inlineStr">
        <is>
          <t/>
        </is>
      </c>
      <c r="G16" s="24" t="inlineStr">
        <is>
          <t/>
        </is>
      </c>
      <c r="H16" s="25">
        <f>STDEV.S(H5:H14)</f>
        <v>0.0</v>
      </c>
      <c r="I16" s="25">
        <f>STDEV.S(I5:I14)</f>
        <v>0.0</v>
      </c>
      <c r="J16" s="24" t="inlineStr">
        <is>
          <t>-</t>
        </is>
      </c>
      <c r="K16" s="25">
        <f>STDEV.S(K5:K14)</f>
        <v>0.0</v>
      </c>
      <c r="L16" s="26">
        <f>STDEV.S(L5:L14)</f>
        <v>0.0</v>
      </c>
      <c r="M16" s="25">
        <f>STDEV.S(M5:M14)</f>
        <v>0.0</v>
      </c>
      <c r="N16" s="25">
        <f>STDEV.S(N5:N14)</f>
        <v>0.0</v>
      </c>
      <c r="O16" s="25">
        <f>STDEV.S(O5:O14)</f>
        <v>6.496078304125753</v>
      </c>
      <c r="P16" s="24" t="inlineStr">
        <is>
          <t/>
        </is>
      </c>
    </row>
    <row r="17" ht="8" customHeight="1">
    </row>
    <row r="18" ht="20" customHeight="1">
      <c r="A18" s="6">
        <v>11</v>
      </c>
      <c r="B18" s="5" t="inlineStr">
        <is>
          <t>bourns_X2_1.mat</t>
        </is>
      </c>
      <c r="C18" s="6" t="inlineStr">
        <is>
          <t>X2</t>
        </is>
      </c>
      <c r="D18" s="7">
        <v>2</v>
      </c>
      <c r="E18" s="7">
        <v>48.0</v>
      </c>
      <c r="F18" s="7">
        <v>0.0</v>
      </c>
      <c r="G18" s="7">
        <v>48.0</v>
      </c>
      <c r="H18" s="7">
        <f>G18-F18</f>
        <v>48.0</v>
      </c>
      <c r="I18" s="8">
        <f>H18/D18</f>
        <v>24.0</v>
      </c>
      <c r="J18" s="7">
        <v>24.0</v>
      </c>
      <c r="K18" s="8">
        <f>I18-J18</f>
        <v>0.0</v>
      </c>
      <c r="L18" s="9">
        <f>K18/J18</f>
        <v>0.0</v>
      </c>
      <c r="M18" s="8">
        <f>H18*(360/E18)</f>
        <v>360.0</v>
      </c>
      <c r="N18" s="8">
        <f>M18-360</f>
        <v>0.0</v>
      </c>
      <c r="O18" s="8">
        <v>29.464</v>
      </c>
      <c r="P18" s="7">
        <v>0</v>
      </c>
    </row>
    <row r="19" ht="20" customHeight="1">
      <c r="A19" s="11">
        <v>12</v>
      </c>
      <c r="B19" s="10" t="inlineStr">
        <is>
          <t>bourns_X2_2.mat</t>
        </is>
      </c>
      <c r="C19" s="11" t="inlineStr">
        <is>
          <t>X2</t>
        </is>
      </c>
      <c r="D19" s="12">
        <v>2</v>
      </c>
      <c r="E19" s="12">
        <v>48.0</v>
      </c>
      <c r="F19" s="12">
        <v>0.0</v>
      </c>
      <c r="G19" s="12">
        <v>48.0</v>
      </c>
      <c r="H19" s="12">
        <f>G19-F19</f>
        <v>48.0</v>
      </c>
      <c r="I19" s="13">
        <f>H19/D19</f>
        <v>24.0</v>
      </c>
      <c r="J19" s="12">
        <v>24.0</v>
      </c>
      <c r="K19" s="13">
        <f>I19-J19</f>
        <v>0.0</v>
      </c>
      <c r="L19" s="14">
        <f>K19/J19</f>
        <v>0.0</v>
      </c>
      <c r="M19" s="13">
        <f>H19*(360/E19)</f>
        <v>360.0</v>
      </c>
      <c r="N19" s="13">
        <f>M19-360</f>
        <v>0.0</v>
      </c>
      <c r="O19" s="13">
        <v>29.681</v>
      </c>
      <c r="P19" s="12">
        <v>0</v>
      </c>
    </row>
    <row r="20" ht="20" customHeight="1">
      <c r="A20" s="6">
        <v>13</v>
      </c>
      <c r="B20" s="5" t="inlineStr">
        <is>
          <t>bourns_X2_3.mat</t>
        </is>
      </c>
      <c r="C20" s="6" t="inlineStr">
        <is>
          <t>X2</t>
        </is>
      </c>
      <c r="D20" s="7">
        <v>2</v>
      </c>
      <c r="E20" s="7">
        <v>48.0</v>
      </c>
      <c r="F20" s="7">
        <v>0.0</v>
      </c>
      <c r="G20" s="7">
        <v>48.0</v>
      </c>
      <c r="H20" s="7">
        <f>G20-F20</f>
        <v>48.0</v>
      </c>
      <c r="I20" s="8">
        <f>H20/D20</f>
        <v>24.0</v>
      </c>
      <c r="J20" s="7">
        <v>24.0</v>
      </c>
      <c r="K20" s="8">
        <f>I20-J20</f>
        <v>0.0</v>
      </c>
      <c r="L20" s="9">
        <f>K20/J20</f>
        <v>0.0</v>
      </c>
      <c r="M20" s="8">
        <f>H20*(360/E20)</f>
        <v>360.0</v>
      </c>
      <c r="N20" s="8">
        <f>M20-360</f>
        <v>0.0</v>
      </c>
      <c r="O20" s="8">
        <v>29.398</v>
      </c>
      <c r="P20" s="7">
        <v>0</v>
      </c>
    </row>
    <row r="21" ht="20" customHeight="1">
      <c r="A21" s="11">
        <v>14</v>
      </c>
      <c r="B21" s="10" t="inlineStr">
        <is>
          <t>bourns_X2_4.mat</t>
        </is>
      </c>
      <c r="C21" s="11" t="inlineStr">
        <is>
          <t>X2</t>
        </is>
      </c>
      <c r="D21" s="12">
        <v>2</v>
      </c>
      <c r="E21" s="12">
        <v>48.0</v>
      </c>
      <c r="F21" s="12">
        <v>0.0</v>
      </c>
      <c r="G21" s="12">
        <v>48.0</v>
      </c>
      <c r="H21" s="12">
        <f>G21-F21</f>
        <v>48.0</v>
      </c>
      <c r="I21" s="13">
        <f>H21/D21</f>
        <v>24.0</v>
      </c>
      <c r="J21" s="12">
        <v>24.0</v>
      </c>
      <c r="K21" s="13">
        <f>I21-J21</f>
        <v>0.0</v>
      </c>
      <c r="L21" s="14">
        <f>K21/J21</f>
        <v>0.0</v>
      </c>
      <c r="M21" s="13">
        <f>H21*(360/E21)</f>
        <v>360.0</v>
      </c>
      <c r="N21" s="13">
        <f>M21-360</f>
        <v>0.0</v>
      </c>
      <c r="O21" s="13">
        <v>29.696</v>
      </c>
      <c r="P21" s="12">
        <v>0</v>
      </c>
    </row>
    <row r="22" ht="20" customHeight="1">
      <c r="A22" s="6">
        <v>15</v>
      </c>
      <c r="B22" s="5" t="inlineStr">
        <is>
          <t>bourns_X2_5.mat</t>
        </is>
      </c>
      <c r="C22" s="6" t="inlineStr">
        <is>
          <t>X2</t>
        </is>
      </c>
      <c r="D22" s="7">
        <v>2</v>
      </c>
      <c r="E22" s="7">
        <v>48.0</v>
      </c>
      <c r="F22" s="7">
        <v>0.0</v>
      </c>
      <c r="G22" s="7">
        <v>48.0</v>
      </c>
      <c r="H22" s="7">
        <f>G22-F22</f>
        <v>48.0</v>
      </c>
      <c r="I22" s="8">
        <f>H22/D22</f>
        <v>24.0</v>
      </c>
      <c r="J22" s="7">
        <v>24.0</v>
      </c>
      <c r="K22" s="8">
        <f>I22-J22</f>
        <v>0.0</v>
      </c>
      <c r="L22" s="9">
        <f>K22/J22</f>
        <v>0.0</v>
      </c>
      <c r="M22" s="8">
        <f>H22*(360/E22)</f>
        <v>360.0</v>
      </c>
      <c r="N22" s="8">
        <f>M22-360</f>
        <v>0.0</v>
      </c>
      <c r="O22" s="8">
        <v>29.409</v>
      </c>
      <c r="P22" s="7">
        <v>0</v>
      </c>
    </row>
    <row r="23" ht="20" customHeight="1">
      <c r="A23" s="11">
        <v>16</v>
      </c>
      <c r="B23" s="10" t="inlineStr">
        <is>
          <t>bourns_X2_6.mat</t>
        </is>
      </c>
      <c r="C23" s="11" t="inlineStr">
        <is>
          <t>X2</t>
        </is>
      </c>
      <c r="D23" s="12">
        <v>2</v>
      </c>
      <c r="E23" s="12">
        <v>48.0</v>
      </c>
      <c r="F23" s="12">
        <v>0.0</v>
      </c>
      <c r="G23" s="12">
        <v>48.0</v>
      </c>
      <c r="H23" s="12">
        <f>G23-F23</f>
        <v>48.0</v>
      </c>
      <c r="I23" s="13">
        <f>H23/D23</f>
        <v>24.0</v>
      </c>
      <c r="J23" s="12">
        <v>24.0</v>
      </c>
      <c r="K23" s="13">
        <f>I23-J23</f>
        <v>0.0</v>
      </c>
      <c r="L23" s="14">
        <f>K23/J23</f>
        <v>0.0</v>
      </c>
      <c r="M23" s="13">
        <f>H23*(360/E23)</f>
        <v>360.0</v>
      </c>
      <c r="N23" s="13">
        <f>M23-360</f>
        <v>0.0</v>
      </c>
      <c r="O23" s="13">
        <v>28.895</v>
      </c>
      <c r="P23" s="12">
        <v>0</v>
      </c>
    </row>
    <row r="24" ht="20" customHeight="1">
      <c r="A24" s="6">
        <v>17</v>
      </c>
      <c r="B24" s="5" t="inlineStr">
        <is>
          <t>bourns_X2_7.mat</t>
        </is>
      </c>
      <c r="C24" s="6" t="inlineStr">
        <is>
          <t>X2</t>
        </is>
      </c>
      <c r="D24" s="7">
        <v>2</v>
      </c>
      <c r="E24" s="7">
        <v>48.0</v>
      </c>
      <c r="F24" s="7">
        <v>0.0</v>
      </c>
      <c r="G24" s="7">
        <v>48.0</v>
      </c>
      <c r="H24" s="7">
        <f>G24-F24</f>
        <v>48.0</v>
      </c>
      <c r="I24" s="8">
        <f>H24/D24</f>
        <v>24.0</v>
      </c>
      <c r="J24" s="7">
        <v>24.0</v>
      </c>
      <c r="K24" s="8">
        <f>I24-J24</f>
        <v>0.0</v>
      </c>
      <c r="L24" s="9">
        <f>K24/J24</f>
        <v>0.0</v>
      </c>
      <c r="M24" s="8">
        <f>H24*(360/E24)</f>
        <v>360.0</v>
      </c>
      <c r="N24" s="8">
        <f>M24-360</f>
        <v>0.0</v>
      </c>
      <c r="O24" s="8">
        <v>29.182</v>
      </c>
      <c r="P24" s="7">
        <v>0</v>
      </c>
    </row>
    <row r="25" ht="20" customHeight="1">
      <c r="A25" s="11">
        <v>18</v>
      </c>
      <c r="B25" s="10" t="inlineStr">
        <is>
          <t>bourns_X2_8.mat</t>
        </is>
      </c>
      <c r="C25" s="11" t="inlineStr">
        <is>
          <t>X2</t>
        </is>
      </c>
      <c r="D25" s="12">
        <v>2</v>
      </c>
      <c r="E25" s="12">
        <v>48.0</v>
      </c>
      <c r="F25" s="12">
        <v>0.0</v>
      </c>
      <c r="G25" s="12">
        <v>48.0</v>
      </c>
      <c r="H25" s="12">
        <f>G25-F25</f>
        <v>48.0</v>
      </c>
      <c r="I25" s="13">
        <f>H25/D25</f>
        <v>24.0</v>
      </c>
      <c r="J25" s="12">
        <v>24.0</v>
      </c>
      <c r="K25" s="13">
        <f>I25-J25</f>
        <v>0.0</v>
      </c>
      <c r="L25" s="14">
        <f>K25/J25</f>
        <v>0.0</v>
      </c>
      <c r="M25" s="13">
        <f>H25*(360/E25)</f>
        <v>360.0</v>
      </c>
      <c r="N25" s="13">
        <f>M25-360</f>
        <v>0.0</v>
      </c>
      <c r="O25" s="13">
        <v>29.182</v>
      </c>
      <c r="P25" s="12">
        <v>0</v>
      </c>
    </row>
    <row r="26" ht="20" customHeight="1">
      <c r="A26" s="6">
        <v>19</v>
      </c>
      <c r="B26" s="5" t="inlineStr">
        <is>
          <t>bourns_X2_9.mat</t>
        </is>
      </c>
      <c r="C26" s="6" t="inlineStr">
        <is>
          <t>X2</t>
        </is>
      </c>
      <c r="D26" s="7">
        <v>2</v>
      </c>
      <c r="E26" s="7">
        <v>48.0</v>
      </c>
      <c r="F26" s="7">
        <v>0.0</v>
      </c>
      <c r="G26" s="7">
        <v>48.0</v>
      </c>
      <c r="H26" s="7">
        <f>G26-F26</f>
        <v>48.0</v>
      </c>
      <c r="I26" s="8">
        <f>H26/D26</f>
        <v>24.0</v>
      </c>
      <c r="J26" s="7">
        <v>24.0</v>
      </c>
      <c r="K26" s="8">
        <f>I26-J26</f>
        <v>0.0</v>
      </c>
      <c r="L26" s="9">
        <f>K26/J26</f>
        <v>0.0</v>
      </c>
      <c r="M26" s="8">
        <f>H26*(360/E26)</f>
        <v>360.0</v>
      </c>
      <c r="N26" s="8">
        <f>M26-360</f>
        <v>0.0</v>
      </c>
      <c r="O26" s="8">
        <v>29.181</v>
      </c>
      <c r="P26" s="7">
        <v>0</v>
      </c>
    </row>
    <row r="27" ht="20" customHeight="1">
      <c r="A27" s="11">
        <v>20</v>
      </c>
      <c r="B27" s="10" t="inlineStr">
        <is>
          <t>bourns_X2_10.mat</t>
        </is>
      </c>
      <c r="C27" s="11" t="inlineStr">
        <is>
          <t>X2</t>
        </is>
      </c>
      <c r="D27" s="12">
        <v>2</v>
      </c>
      <c r="E27" s="12">
        <v>48.0</v>
      </c>
      <c r="F27" s="12">
        <v>0.0</v>
      </c>
      <c r="G27" s="12">
        <v>48.0</v>
      </c>
      <c r="H27" s="12">
        <f>G27-F27</f>
        <v>48.0</v>
      </c>
      <c r="I27" s="13">
        <f>H27/D27</f>
        <v>24.0</v>
      </c>
      <c r="J27" s="12">
        <v>24.0</v>
      </c>
      <c r="K27" s="13">
        <f>I27-J27</f>
        <v>0.0</v>
      </c>
      <c r="L27" s="14">
        <f>K27/J27</f>
        <v>0.0</v>
      </c>
      <c r="M27" s="13">
        <f>H27*(360/E27)</f>
        <v>360.0</v>
      </c>
      <c r="N27" s="13">
        <f>M27-360</f>
        <v>0.0</v>
      </c>
      <c r="O27" s="13">
        <v>29.418</v>
      </c>
      <c r="P27" s="12">
        <v>0</v>
      </c>
    </row>
    <row r="28" ht="21" customHeight="1">
      <c r="A28" s="15" t="inlineStr">
        <is>
          <t>AVG</t>
        </is>
      </c>
      <c r="B28" s="15" t="inlineStr">
        <is>
          <t>Bourns PEC11R X2 Mean</t>
        </is>
      </c>
      <c r="C28" s="15" t="inlineStr">
        <is>
          <t>X2</t>
        </is>
      </c>
      <c r="D28" s="15" t="inlineStr">
        <is>
          <t/>
        </is>
      </c>
      <c r="E28" s="15" t="inlineStr">
        <is>
          <t/>
        </is>
      </c>
      <c r="F28" s="15" t="inlineStr">
        <is>
          <t/>
        </is>
      </c>
      <c r="G28" s="15" t="inlineStr">
        <is>
          <t/>
        </is>
      </c>
      <c r="H28" s="17">
        <f>AVERAGE(H18:H27)</f>
        <v>48.0</v>
      </c>
      <c r="I28" s="17">
        <f>AVERAGE(I18:I27)</f>
        <v>24.0</v>
      </c>
      <c r="J28" s="16">
        <v>24.0</v>
      </c>
      <c r="K28" s="17">
        <f>AVERAGE(K18:K27)</f>
        <v>0.0</v>
      </c>
      <c r="L28" s="18">
        <f>AVERAGE(L18:L27)</f>
        <v>0.0</v>
      </c>
      <c r="M28" s="17">
        <f>AVERAGE(M18:M27)</f>
        <v>360.0</v>
      </c>
      <c r="N28" s="17">
        <f>AVERAGE(N18:N27)</f>
        <v>0.0</v>
      </c>
      <c r="O28" s="17">
        <f>AVERAGE(O18:O27)</f>
        <v>29.350599999999996</v>
      </c>
      <c r="P28" s="15" t="inlineStr">
        <is>
          <t/>
        </is>
      </c>
    </row>
    <row r="29" ht="21" customHeight="1">
      <c r="A29" s="24" t="inlineStr">
        <is>
          <t>STDEV</t>
        </is>
      </c>
      <c r="B29" s="24" t="inlineStr">
        <is>
          <t>Bourns PEC11R X2 Std Dev (σ)</t>
        </is>
      </c>
      <c r="C29" s="24" t="inlineStr">
        <is>
          <t>X2</t>
        </is>
      </c>
      <c r="D29" s="24" t="inlineStr">
        <is>
          <t/>
        </is>
      </c>
      <c r="E29" s="24" t="inlineStr">
        <is>
          <t/>
        </is>
      </c>
      <c r="F29" s="24" t="inlineStr">
        <is>
          <t/>
        </is>
      </c>
      <c r="G29" s="24" t="inlineStr">
        <is>
          <t/>
        </is>
      </c>
      <c r="H29" s="25">
        <f>STDEV.S(H18:H27)</f>
        <v>0.0</v>
      </c>
      <c r="I29" s="25">
        <f>STDEV.S(I18:I27)</f>
        <v>0.0</v>
      </c>
      <c r="J29" s="24" t="inlineStr">
        <is>
          <t>-</t>
        </is>
      </c>
      <c r="K29" s="25">
        <f>STDEV.S(K18:K27)</f>
        <v>0.0</v>
      </c>
      <c r="L29" s="26">
        <f>STDEV.S(L18:L27)</f>
        <v>0.0</v>
      </c>
      <c r="M29" s="25">
        <f>STDEV.S(M18:M27)</f>
        <v>0.0</v>
      </c>
      <c r="N29" s="25">
        <f>STDEV.S(N18:N27)</f>
        <v>0.0</v>
      </c>
      <c r="O29" s="25">
        <f>STDEV.S(O18:O27)</f>
        <v>0.24601544666951347</v>
      </c>
      <c r="P29" s="24" t="inlineStr">
        <is>
          <t/>
        </is>
      </c>
    </row>
    <row r="30" ht="8" customHeight="1">
    </row>
    <row r="31" ht="20" customHeight="1">
      <c r="A31" s="6">
        <v>21</v>
      </c>
      <c r="B31" s="5" t="inlineStr">
        <is>
          <t>bourns_X4_1.mat</t>
        </is>
      </c>
      <c r="C31" s="6" t="inlineStr">
        <is>
          <t>X4</t>
        </is>
      </c>
      <c r="D31" s="7">
        <v>4</v>
      </c>
      <c r="E31" s="7">
        <v>96.0</v>
      </c>
      <c r="F31" s="7">
        <v>0.0</v>
      </c>
      <c r="G31" s="7">
        <v>96.0</v>
      </c>
      <c r="H31" s="7">
        <f>G31-F31</f>
        <v>96.0</v>
      </c>
      <c r="I31" s="8">
        <f>H31/D31</f>
        <v>24.0</v>
      </c>
      <c r="J31" s="7">
        <v>24.0</v>
      </c>
      <c r="K31" s="8">
        <f>I31-J31</f>
        <v>0.0</v>
      </c>
      <c r="L31" s="9">
        <f>K31/J31</f>
        <v>0.0</v>
      </c>
      <c r="M31" s="8">
        <f>H31*(360/E31)</f>
        <v>360.0</v>
      </c>
      <c r="N31" s="8">
        <f>M31-360</f>
        <v>0.0</v>
      </c>
      <c r="O31" s="8">
        <v>31.215</v>
      </c>
      <c r="P31" s="7">
        <v>0</v>
      </c>
    </row>
    <row r="32" ht="20" customHeight="1">
      <c r="A32" s="11">
        <v>22</v>
      </c>
      <c r="B32" s="10" t="inlineStr">
        <is>
          <t>bourns_X4_2.mat</t>
        </is>
      </c>
      <c r="C32" s="11" t="inlineStr">
        <is>
          <t>X4</t>
        </is>
      </c>
      <c r="D32" s="12">
        <v>4</v>
      </c>
      <c r="E32" s="12">
        <v>96.0</v>
      </c>
      <c r="F32" s="12">
        <v>0.0</v>
      </c>
      <c r="G32" s="12">
        <v>96.0</v>
      </c>
      <c r="H32" s="12">
        <f>G32-F32</f>
        <v>96.0</v>
      </c>
      <c r="I32" s="13">
        <f>H32/D32</f>
        <v>24.0</v>
      </c>
      <c r="J32" s="12">
        <v>24.0</v>
      </c>
      <c r="K32" s="13">
        <f>I32-J32</f>
        <v>0.0</v>
      </c>
      <c r="L32" s="14">
        <f>K32/J32</f>
        <v>0.0</v>
      </c>
      <c r="M32" s="13">
        <f>H32*(360/E32)</f>
        <v>360.0</v>
      </c>
      <c r="N32" s="13">
        <f>M32-360</f>
        <v>0.0</v>
      </c>
      <c r="O32" s="13">
        <v>29.93</v>
      </c>
      <c r="P32" s="12">
        <v>0</v>
      </c>
    </row>
    <row r="33" ht="20" customHeight="1">
      <c r="A33" s="6">
        <v>23</v>
      </c>
      <c r="B33" s="5" t="inlineStr">
        <is>
          <t>bourns_X4_3.mat</t>
        </is>
      </c>
      <c r="C33" s="6" t="inlineStr">
        <is>
          <t>X4</t>
        </is>
      </c>
      <c r="D33" s="7">
        <v>4</v>
      </c>
      <c r="E33" s="7">
        <v>96.0</v>
      </c>
      <c r="F33" s="7">
        <v>0.0</v>
      </c>
      <c r="G33" s="7">
        <v>96.0</v>
      </c>
      <c r="H33" s="7">
        <f>G33-F33</f>
        <v>96.0</v>
      </c>
      <c r="I33" s="8">
        <f>H33/D33</f>
        <v>24.0</v>
      </c>
      <c r="J33" s="7">
        <v>24.0</v>
      </c>
      <c r="K33" s="8">
        <f>I33-J33</f>
        <v>0.0</v>
      </c>
      <c r="L33" s="9">
        <f>K33/J33</f>
        <v>0.0</v>
      </c>
      <c r="M33" s="8">
        <f>H33*(360/E33)</f>
        <v>360.0</v>
      </c>
      <c r="N33" s="8">
        <f>M33-360</f>
        <v>0.0</v>
      </c>
      <c r="O33" s="8">
        <v>30.952</v>
      </c>
      <c r="P33" s="7">
        <v>0</v>
      </c>
    </row>
    <row r="34" ht="20" customHeight="1">
      <c r="A34" s="11">
        <v>24</v>
      </c>
      <c r="B34" s="10" t="inlineStr">
        <is>
          <t>bourns_X4_4.mat</t>
        </is>
      </c>
      <c r="C34" s="11" t="inlineStr">
        <is>
          <t>X4</t>
        </is>
      </c>
      <c r="D34" s="12">
        <v>4</v>
      </c>
      <c r="E34" s="12">
        <v>96.0</v>
      </c>
      <c r="F34" s="12">
        <v>0.0</v>
      </c>
      <c r="G34" s="12">
        <v>96.0</v>
      </c>
      <c r="H34" s="12">
        <f>G34-F34</f>
        <v>96.0</v>
      </c>
      <c r="I34" s="13">
        <f>H34/D34</f>
        <v>24.0</v>
      </c>
      <c r="J34" s="12">
        <v>24.0</v>
      </c>
      <c r="K34" s="13">
        <f>I34-J34</f>
        <v>0.0</v>
      </c>
      <c r="L34" s="14">
        <f>K34/J34</f>
        <v>0.0</v>
      </c>
      <c r="M34" s="13">
        <f>H34*(360/E34)</f>
        <v>360.0</v>
      </c>
      <c r="N34" s="13">
        <f>M34-360</f>
        <v>0.0</v>
      </c>
      <c r="O34" s="13">
        <v>29.665</v>
      </c>
      <c r="P34" s="12">
        <v>0</v>
      </c>
    </row>
    <row r="35" ht="20" customHeight="1">
      <c r="A35" s="6">
        <v>25</v>
      </c>
      <c r="B35" s="5" t="inlineStr">
        <is>
          <t>bourns_X4_5.mat</t>
        </is>
      </c>
      <c r="C35" s="6" t="inlineStr">
        <is>
          <t>X4</t>
        </is>
      </c>
      <c r="D35" s="7">
        <v>4</v>
      </c>
      <c r="E35" s="7">
        <v>96.0</v>
      </c>
      <c r="F35" s="7">
        <v>0.0</v>
      </c>
      <c r="G35" s="7">
        <v>96.0</v>
      </c>
      <c r="H35" s="7">
        <f>G35-F35</f>
        <v>96.0</v>
      </c>
      <c r="I35" s="8">
        <f>H35/D35</f>
        <v>24.0</v>
      </c>
      <c r="J35" s="7">
        <v>24.0</v>
      </c>
      <c r="K35" s="8">
        <f>I35-J35</f>
        <v>0.0</v>
      </c>
      <c r="L35" s="9">
        <f>K35/J35</f>
        <v>0.0</v>
      </c>
      <c r="M35" s="8">
        <f>H35*(360/E35)</f>
        <v>360.0</v>
      </c>
      <c r="N35" s="8">
        <f>M35-360</f>
        <v>0.0</v>
      </c>
      <c r="O35" s="8">
        <v>29.929</v>
      </c>
      <c r="P35" s="7">
        <v>0</v>
      </c>
    </row>
    <row r="36" ht="20" customHeight="1">
      <c r="A36" s="11">
        <v>26</v>
      </c>
      <c r="B36" s="10" t="inlineStr">
        <is>
          <t>bourns_X4_6.mat</t>
        </is>
      </c>
      <c r="C36" s="11" t="inlineStr">
        <is>
          <t>X4</t>
        </is>
      </c>
      <c r="D36" s="12">
        <v>4</v>
      </c>
      <c r="E36" s="12">
        <v>96.0</v>
      </c>
      <c r="F36" s="12">
        <v>0.0</v>
      </c>
      <c r="G36" s="12">
        <v>96.0</v>
      </c>
      <c r="H36" s="12">
        <f>G36-F36</f>
        <v>96.0</v>
      </c>
      <c r="I36" s="13">
        <f>H36/D36</f>
        <v>24.0</v>
      </c>
      <c r="J36" s="12">
        <v>24.0</v>
      </c>
      <c r="K36" s="13">
        <f>I36-J36</f>
        <v>0.0</v>
      </c>
      <c r="L36" s="14">
        <f>K36/J36</f>
        <v>0.0</v>
      </c>
      <c r="M36" s="13">
        <f>H36*(360/E36)</f>
        <v>360.0</v>
      </c>
      <c r="N36" s="13">
        <f>M36-360</f>
        <v>0.0</v>
      </c>
      <c r="O36" s="13">
        <v>29.796</v>
      </c>
      <c r="P36" s="12">
        <v>0</v>
      </c>
    </row>
    <row r="37" ht="20" customHeight="1">
      <c r="A37" s="6">
        <v>27</v>
      </c>
      <c r="B37" s="5" t="inlineStr">
        <is>
          <t>bourns_X4_7.mat</t>
        </is>
      </c>
      <c r="C37" s="6" t="inlineStr">
        <is>
          <t>X4</t>
        </is>
      </c>
      <c r="D37" s="7">
        <v>4</v>
      </c>
      <c r="E37" s="7">
        <v>96.0</v>
      </c>
      <c r="F37" s="7">
        <v>0.0</v>
      </c>
      <c r="G37" s="7">
        <v>96.0</v>
      </c>
      <c r="H37" s="7">
        <f>G37-F37</f>
        <v>96.0</v>
      </c>
      <c r="I37" s="8">
        <f>H37/D37</f>
        <v>24.0</v>
      </c>
      <c r="J37" s="7">
        <v>24.0</v>
      </c>
      <c r="K37" s="8">
        <f>I37-J37</f>
        <v>0.0</v>
      </c>
      <c r="L37" s="9">
        <f>K37/J37</f>
        <v>0.0</v>
      </c>
      <c r="M37" s="8">
        <f>H37*(360/E37)</f>
        <v>360.0</v>
      </c>
      <c r="N37" s="8">
        <f>M37-360</f>
        <v>0.0</v>
      </c>
      <c r="O37" s="8">
        <v>29.69</v>
      </c>
      <c r="P37" s="7">
        <v>0</v>
      </c>
    </row>
    <row r="38" ht="20" customHeight="1">
      <c r="A38" s="11">
        <v>28</v>
      </c>
      <c r="B38" s="10" t="inlineStr">
        <is>
          <t>bourns_X4_8.mat</t>
        </is>
      </c>
      <c r="C38" s="11" t="inlineStr">
        <is>
          <t>X4</t>
        </is>
      </c>
      <c r="D38" s="12">
        <v>4</v>
      </c>
      <c r="E38" s="12">
        <v>96.0</v>
      </c>
      <c r="F38" s="12">
        <v>0.0</v>
      </c>
      <c r="G38" s="12">
        <v>96.0</v>
      </c>
      <c r="H38" s="12">
        <f>G38-F38</f>
        <v>96.0</v>
      </c>
      <c r="I38" s="13">
        <f>H38/D38</f>
        <v>24.0</v>
      </c>
      <c r="J38" s="12">
        <v>24.0</v>
      </c>
      <c r="K38" s="13">
        <f>I38-J38</f>
        <v>0.0</v>
      </c>
      <c r="L38" s="14">
        <f>K38/J38</f>
        <v>0.0</v>
      </c>
      <c r="M38" s="13">
        <f>H38*(360/E38)</f>
        <v>360.0</v>
      </c>
      <c r="N38" s="13">
        <f>M38-360</f>
        <v>0.0</v>
      </c>
      <c r="O38" s="13">
        <v>29.196</v>
      </c>
      <c r="P38" s="12">
        <v>0</v>
      </c>
    </row>
    <row r="39" ht="20" customHeight="1">
      <c r="A39" s="6">
        <v>29</v>
      </c>
      <c r="B39" s="5" t="inlineStr">
        <is>
          <t>bourns_X4_9.mat</t>
        </is>
      </c>
      <c r="C39" s="6" t="inlineStr">
        <is>
          <t>X4</t>
        </is>
      </c>
      <c r="D39" s="7">
        <v>4</v>
      </c>
      <c r="E39" s="7">
        <v>96.0</v>
      </c>
      <c r="F39" s="7">
        <v>0.0</v>
      </c>
      <c r="G39" s="7">
        <v>96.0</v>
      </c>
      <c r="H39" s="7">
        <f>G39-F39</f>
        <v>96.0</v>
      </c>
      <c r="I39" s="8">
        <f>H39/D39</f>
        <v>24.0</v>
      </c>
      <c r="J39" s="7">
        <v>24.0</v>
      </c>
      <c r="K39" s="8">
        <f>I39-J39</f>
        <v>0.0</v>
      </c>
      <c r="L39" s="9">
        <f>K39/J39</f>
        <v>0.0</v>
      </c>
      <c r="M39" s="8">
        <f>H39*(360/E39)</f>
        <v>360.0</v>
      </c>
      <c r="N39" s="8">
        <f>M39-360</f>
        <v>0.0</v>
      </c>
      <c r="O39" s="8">
        <v>29.697</v>
      </c>
      <c r="P39" s="7">
        <v>0</v>
      </c>
    </row>
    <row r="40" ht="20" customHeight="1">
      <c r="A40" s="11">
        <v>30</v>
      </c>
      <c r="B40" s="10" t="inlineStr">
        <is>
          <t>bourns_X4_10.mat</t>
        </is>
      </c>
      <c r="C40" s="11" t="inlineStr">
        <is>
          <t>X4</t>
        </is>
      </c>
      <c r="D40" s="12">
        <v>4</v>
      </c>
      <c r="E40" s="12">
        <v>96.0</v>
      </c>
      <c r="F40" s="12">
        <v>0.0</v>
      </c>
      <c r="G40" s="12">
        <v>96.0</v>
      </c>
      <c r="H40" s="12">
        <f>G40-F40</f>
        <v>96.0</v>
      </c>
      <c r="I40" s="13">
        <f>H40/D40</f>
        <v>24.0</v>
      </c>
      <c r="J40" s="12">
        <v>24.0</v>
      </c>
      <c r="K40" s="13">
        <f>I40-J40</f>
        <v>0.0</v>
      </c>
      <c r="L40" s="14">
        <f>K40/J40</f>
        <v>0.0</v>
      </c>
      <c r="M40" s="13">
        <f>H40*(360/E40)</f>
        <v>360.0</v>
      </c>
      <c r="N40" s="13">
        <f>M40-360</f>
        <v>0.0</v>
      </c>
      <c r="O40" s="13">
        <v>29.944</v>
      </c>
      <c r="P40" s="12">
        <v>0</v>
      </c>
    </row>
    <row r="41" ht="21" customHeight="1">
      <c r="A41" s="15" t="inlineStr">
        <is>
          <t>AVG</t>
        </is>
      </c>
      <c r="B41" s="15" t="inlineStr">
        <is>
          <t>Bourns PEC11R X4 Mean</t>
        </is>
      </c>
      <c r="C41" s="15" t="inlineStr">
        <is>
          <t>X4</t>
        </is>
      </c>
      <c r="D41" s="15" t="inlineStr">
        <is>
          <t/>
        </is>
      </c>
      <c r="E41" s="15" t="inlineStr">
        <is>
          <t/>
        </is>
      </c>
      <c r="F41" s="15" t="inlineStr">
        <is>
          <t/>
        </is>
      </c>
      <c r="G41" s="15" t="inlineStr">
        <is>
          <t/>
        </is>
      </c>
      <c r="H41" s="17">
        <f>AVERAGE(H31:H40)</f>
        <v>96.0</v>
      </c>
      <c r="I41" s="17">
        <f>AVERAGE(I31:I40)</f>
        <v>24.0</v>
      </c>
      <c r="J41" s="16">
        <v>24.0</v>
      </c>
      <c r="K41" s="17">
        <f>AVERAGE(K31:K40)</f>
        <v>0.0</v>
      </c>
      <c r="L41" s="18">
        <f>AVERAGE(L31:L40)</f>
        <v>0.0</v>
      </c>
      <c r="M41" s="17">
        <f>AVERAGE(M31:M40)</f>
        <v>360.0</v>
      </c>
      <c r="N41" s="17">
        <f>AVERAGE(N31:N40)</f>
        <v>0.0</v>
      </c>
      <c r="O41" s="17">
        <f>AVERAGE(O31:O40)</f>
        <v>30.0014</v>
      </c>
      <c r="P41" s="15" t="inlineStr">
        <is>
          <t/>
        </is>
      </c>
    </row>
    <row r="42" ht="21" customHeight="1">
      <c r="A42" s="24" t="inlineStr">
        <is>
          <t>STDEV</t>
        </is>
      </c>
      <c r="B42" s="24" t="inlineStr">
        <is>
          <t>Bourns PEC11R X4 Std Dev (σ)</t>
        </is>
      </c>
      <c r="C42" s="24" t="inlineStr">
        <is>
          <t>X4</t>
        </is>
      </c>
      <c r="D42" s="24" t="inlineStr">
        <is>
          <t/>
        </is>
      </c>
      <c r="E42" s="24" t="inlineStr">
        <is>
          <t/>
        </is>
      </c>
      <c r="F42" s="24" t="inlineStr">
        <is>
          <t/>
        </is>
      </c>
      <c r="G42" s="24" t="inlineStr">
        <is>
          <t/>
        </is>
      </c>
      <c r="H42" s="25">
        <f>STDEV.S(H31:H40)</f>
        <v>0.0</v>
      </c>
      <c r="I42" s="25">
        <f>STDEV.S(I31:I40)</f>
        <v>0.0</v>
      </c>
      <c r="J42" s="24" t="inlineStr">
        <is>
          <t>-</t>
        </is>
      </c>
      <c r="K42" s="25">
        <f>STDEV.S(K31:K40)</f>
        <v>0.0</v>
      </c>
      <c r="L42" s="26">
        <f>STDEV.S(L31:L40)</f>
        <v>0.0</v>
      </c>
      <c r="M42" s="25">
        <f>STDEV.S(M31:M40)</f>
        <v>0.0</v>
      </c>
      <c r="N42" s="25">
        <f>STDEV.S(N31:N40)</f>
        <v>0.0</v>
      </c>
      <c r="O42" s="25">
        <f>STDEV.S(O31:O40)</f>
        <v>0.6131659554222568</v>
      </c>
      <c r="P42" s="24" t="inlineStr">
        <is>
          <t/>
        </is>
      </c>
    </row>
    <row r="43" ht="8" customHeight="1">
    </row>
    <row r="44" ht="23" customHeight="1">
      <c r="A44" s="15" t="inlineStr">
        <is>
          <t>GRAND AVG</t>
        </is>
      </c>
      <c r="B44" s="15" t="inlineStr">
        <is>
          <t>Bourns PEC11R (All 30 Trials)</t>
        </is>
      </c>
      <c r="C44" s="15" t="inlineStr">
        <is>
          <t>All Modes</t>
        </is>
      </c>
      <c r="D44" s="15" t="inlineStr">
        <is>
          <t/>
        </is>
      </c>
      <c r="E44" s="15" t="inlineStr">
        <is>
          <t/>
        </is>
      </c>
      <c r="F44" s="15" t="inlineStr">
        <is>
          <t/>
        </is>
      </c>
      <c r="G44" s="15" t="inlineStr">
        <is>
          <t/>
        </is>
      </c>
      <c r="H44" s="15" t="inlineStr">
        <is>
          <t/>
        </is>
      </c>
      <c r="I44" s="17">
        <v>24.0</v>
      </c>
      <c r="J44" s="16">
        <v>24.0</v>
      </c>
      <c r="K44" s="17">
        <v>0.0</v>
      </c>
      <c r="L44" s="18">
        <v>0.0</v>
      </c>
      <c r="M44" s="17">
        <v>360.0</v>
      </c>
      <c r="N44" s="17">
        <v>0.0</v>
      </c>
      <c r="O44" s="17">
        <v>30.591333333333335</v>
      </c>
      <c r="P44" s="15" t="inlineStr">
        <is>
          <t/>
        </is>
      </c>
    </row>
    <row r="45" ht="23" customHeight="1">
      <c r="A45" s="27" t="inlineStr">
        <is>
          <t>GRAND STDEV</t>
        </is>
      </c>
      <c r="B45" s="27" t="inlineStr">
        <is>
          <t>Bourns PEC11R Overall Std Dev (σ)</t>
        </is>
      </c>
      <c r="C45" s="27" t="inlineStr">
        <is>
          <t>All Modes</t>
        </is>
      </c>
      <c r="D45" s="27" t="inlineStr">
        <is>
          <t/>
        </is>
      </c>
      <c r="E45" s="27" t="inlineStr">
        <is>
          <t/>
        </is>
      </c>
      <c r="F45" s="27" t="inlineStr">
        <is>
          <t/>
        </is>
      </c>
      <c r="G45" s="27" t="inlineStr">
        <is>
          <t/>
        </is>
      </c>
      <c r="H45" s="27" t="inlineStr">
        <is>
          <t/>
        </is>
      </c>
      <c r="I45" s="28">
        <v>0.0</v>
      </c>
      <c r="J45" s="27" t="inlineStr">
        <is>
          <t>-</t>
        </is>
      </c>
      <c r="K45" s="28">
        <v>0.0</v>
      </c>
      <c r="L45" s="29">
        <v>0.0</v>
      </c>
      <c r="M45" s="28">
        <v>0.0</v>
      </c>
      <c r="N45" s="28">
        <v>0.0</v>
      </c>
      <c r="O45" s="28">
        <v>3.877910807365875</v>
      </c>
      <c r="P45" s="27" t="inlineStr">
        <is>
          <t/>
        </is>
      </c>
    </row>
  </sheetData>
  <mergeCells count="2">
    <mergeCell ref="A1:P1"/>
    <mergeCell ref="A2:P2"/>
  </mergeCells>
</worksheet>
</file>

<file path=xl/worksheets/sheet4.xml><?xml version="1.0" encoding="utf-8"?>
<worksheet xmlns="http://schemas.openxmlformats.org/spreadsheetml/2006/main">
  <cols>
    <col min="1" max="1" width="8" customWidth="1"/>
    <col min="2" max="2" width="16" customWidth="1"/>
    <col min="3" max="3" width="18" customWidth="1"/>
    <col min="4" max="4" width="8" customWidth="1"/>
    <col min="5" max="5" width="10" customWidth="1"/>
    <col min="6" max="6" width="14" customWidth="1"/>
    <col min="7" max="7" width="14" customWidth="1"/>
    <col min="8" max="8" width="14" customWidth="1"/>
    <col min="9" max="9" width="16" customWidth="1"/>
    <col min="10" max="10" width="16" customWidth="1"/>
    <col min="11" max="11" width="14" customWidth="1"/>
    <col min="12" max="12" width="15" customWidth="1"/>
    <col min="13" max="13" width="18" customWidth="1"/>
    <col min="14" max="14" width="14" customWidth="1"/>
    <col min="15" max="15" width="14" customWidth="1"/>
  </cols>
  <sheetData>
    <row r="1" ht="28" customHeight="1">
      <c r="A1" s="1" t="inlineStr">
        <is>
          <t>ALL 60 ENCODER REVOLUTION RUNS — MASTER COMPARISON LOG</t>
        </is>
      </c>
    </row>
    <row r="2" ht="18" customHeight="1">
      <c r="A2" s="2" t="inlineStr">
        <is>
          <t>Consolidated dataset comparing single-revolution response across AMT103-V and Bourns PEC11R</t>
        </is>
      </c>
    </row>
    <row r="3" ht="10" customHeight="1">
    </row>
    <row r="4" ht="26" customHeight="1">
      <c r="A4" s="4" t="inlineStr">
        <is>
          <t>Run #</t>
        </is>
      </c>
      <c r="B4" s="4" t="inlineStr">
        <is>
          <t>Encoder Model</t>
        </is>
      </c>
      <c r="C4" s="4" t="inlineStr">
        <is>
          <t>File Name</t>
        </is>
      </c>
      <c r="D4" s="4" t="inlineStr">
        <is>
          <t>Mode</t>
        </is>
      </c>
      <c r="E4" s="4" t="inlineStr">
        <is>
          <t>Mult (M)</t>
        </is>
      </c>
      <c r="F4" s="4" t="inlineStr">
        <is>
          <t>Nominal CPR</t>
        </is>
      </c>
      <c r="G4" s="4" t="inlineStr">
        <is>
          <t>Initial Count</t>
        </is>
      </c>
      <c r="H4" s="4" t="inlineStr">
        <is>
          <t>Plateau Count</t>
        </is>
      </c>
      <c r="I4" s="4" t="inlineStr">
        <is>
          <t>Net Count (ΔN)</t>
        </is>
      </c>
      <c r="J4" s="4" t="inlineStr">
        <is>
          <t>Calculated PPR</t>
        </is>
      </c>
      <c r="K4" s="4" t="inlineStr">
        <is>
          <t>Nominal PPR</t>
        </is>
      </c>
      <c r="L4" s="4" t="inlineStr">
        <is>
          <t>PPR Error (%)</t>
        </is>
      </c>
      <c r="M4" s="4" t="inlineStr">
        <is>
          <t>Measured Angle (°)</t>
        </is>
      </c>
      <c r="N4" s="4" t="inlineStr">
        <is>
          <t>Duration (s)</t>
        </is>
      </c>
      <c r="O4" s="4" t="inlineStr">
        <is>
          <t>Backlash Steps</t>
        </is>
      </c>
    </row>
    <row r="5" ht="20" customHeight="1">
      <c r="A5" s="11">
        <v>1</v>
      </c>
      <c r="B5" s="10" t="inlineStr">
        <is>
          <t>AMT103-V</t>
        </is>
      </c>
      <c r="C5" s="10" t="inlineStr">
        <is>
          <t>AMT_X1_1.mat</t>
        </is>
      </c>
      <c r="D5" s="11" t="inlineStr">
        <is>
          <t>X1</t>
        </is>
      </c>
      <c r="E5" s="12">
        <v>1</v>
      </c>
      <c r="F5" s="12">
        <v>2048.0</v>
      </c>
      <c r="G5" s="12">
        <v>0.0</v>
      </c>
      <c r="H5" s="12">
        <v>2093.0</v>
      </c>
      <c r="I5" s="12">
        <v>2093.0</v>
      </c>
      <c r="J5" s="13">
        <v>2093.0</v>
      </c>
      <c r="K5" s="12">
        <v>2048.0</v>
      </c>
      <c r="L5" s="14">
        <v>0.02197265625</v>
      </c>
      <c r="M5" s="13">
        <v>367.91015625</v>
      </c>
      <c r="N5" s="13">
        <v>13.807</v>
      </c>
      <c r="O5" s="12">
        <v>2</v>
      </c>
    </row>
    <row r="6" ht="20" customHeight="1">
      <c r="A6" s="6">
        <v>2</v>
      </c>
      <c r="B6" s="5" t="inlineStr">
        <is>
          <t>AMT103-V</t>
        </is>
      </c>
      <c r="C6" s="5" t="inlineStr">
        <is>
          <t>AMT_X1_2.mat</t>
        </is>
      </c>
      <c r="D6" s="6" t="inlineStr">
        <is>
          <t>X1</t>
        </is>
      </c>
      <c r="E6" s="7">
        <v>1</v>
      </c>
      <c r="F6" s="7">
        <v>2048.0</v>
      </c>
      <c r="G6" s="7">
        <v>0.0</v>
      </c>
      <c r="H6" s="7">
        <v>2054.0</v>
      </c>
      <c r="I6" s="7">
        <v>2054.0</v>
      </c>
      <c r="J6" s="8">
        <v>2054.0</v>
      </c>
      <c r="K6" s="7">
        <v>2048.0</v>
      </c>
      <c r="L6" s="9">
        <v>0.0029296875</v>
      </c>
      <c r="M6" s="8">
        <v>361.0546875</v>
      </c>
      <c r="N6" s="8">
        <v>14.838</v>
      </c>
      <c r="O6" s="7">
        <v>0</v>
      </c>
    </row>
    <row r="7" ht="20" customHeight="1">
      <c r="A7" s="11">
        <v>3</v>
      </c>
      <c r="B7" s="10" t="inlineStr">
        <is>
          <t>AMT103-V</t>
        </is>
      </c>
      <c r="C7" s="10" t="inlineStr">
        <is>
          <t>AMT_X1_3.mat</t>
        </is>
      </c>
      <c r="D7" s="11" t="inlineStr">
        <is>
          <t>X1</t>
        </is>
      </c>
      <c r="E7" s="12">
        <v>1</v>
      </c>
      <c r="F7" s="12">
        <v>2048.0</v>
      </c>
      <c r="G7" s="12">
        <v>0.0</v>
      </c>
      <c r="H7" s="12">
        <v>2065.0</v>
      </c>
      <c r="I7" s="12">
        <v>2065.0</v>
      </c>
      <c r="J7" s="13">
        <v>2065.0</v>
      </c>
      <c r="K7" s="12">
        <v>2048.0</v>
      </c>
      <c r="L7" s="14">
        <v>0.00830078125</v>
      </c>
      <c r="M7" s="13">
        <v>362.98828125</v>
      </c>
      <c r="N7" s="13">
        <v>16.093</v>
      </c>
      <c r="O7" s="12">
        <v>0</v>
      </c>
    </row>
    <row r="8" ht="20" customHeight="1">
      <c r="A8" s="6">
        <v>4</v>
      </c>
      <c r="B8" s="5" t="inlineStr">
        <is>
          <t>AMT103-V</t>
        </is>
      </c>
      <c r="C8" s="5" t="inlineStr">
        <is>
          <t>AMT_X1_4.mat</t>
        </is>
      </c>
      <c r="D8" s="6" t="inlineStr">
        <is>
          <t>X1</t>
        </is>
      </c>
      <c r="E8" s="7">
        <v>1</v>
      </c>
      <c r="F8" s="7">
        <v>2048.0</v>
      </c>
      <c r="G8" s="7">
        <v>0.0</v>
      </c>
      <c r="H8" s="7">
        <v>2035.0</v>
      </c>
      <c r="I8" s="7">
        <v>2035.0</v>
      </c>
      <c r="J8" s="8">
        <v>2035.0</v>
      </c>
      <c r="K8" s="7">
        <v>2048.0</v>
      </c>
      <c r="L8" s="9">
        <v>-0.00634765625</v>
      </c>
      <c r="M8" s="8">
        <v>357.71484375</v>
      </c>
      <c r="N8" s="8">
        <v>16.597</v>
      </c>
      <c r="O8" s="7">
        <v>0</v>
      </c>
    </row>
    <row r="9" ht="20" customHeight="1">
      <c r="A9" s="11">
        <v>5</v>
      </c>
      <c r="B9" s="10" t="inlineStr">
        <is>
          <t>AMT103-V</t>
        </is>
      </c>
      <c r="C9" s="10" t="inlineStr">
        <is>
          <t>AMT_X1_5.mat</t>
        </is>
      </c>
      <c r="D9" s="11" t="inlineStr">
        <is>
          <t>X1</t>
        </is>
      </c>
      <c r="E9" s="12">
        <v>1</v>
      </c>
      <c r="F9" s="12">
        <v>2048.0</v>
      </c>
      <c r="G9" s="12">
        <v>0.0</v>
      </c>
      <c r="H9" s="12">
        <v>2071.0</v>
      </c>
      <c r="I9" s="12">
        <v>2071.0</v>
      </c>
      <c r="J9" s="13">
        <v>2071.0</v>
      </c>
      <c r="K9" s="12">
        <v>2048.0</v>
      </c>
      <c r="L9" s="14">
        <v>0.01123046875</v>
      </c>
      <c r="M9" s="13">
        <v>364.04296875</v>
      </c>
      <c r="N9" s="13">
        <v>16.62</v>
      </c>
      <c r="O9" s="12">
        <v>0</v>
      </c>
    </row>
    <row r="10" ht="20" customHeight="1">
      <c r="A10" s="6">
        <v>6</v>
      </c>
      <c r="B10" s="5" t="inlineStr">
        <is>
          <t>AMT103-V</t>
        </is>
      </c>
      <c r="C10" s="5" t="inlineStr">
        <is>
          <t>AMT_X1_6.mat</t>
        </is>
      </c>
      <c r="D10" s="6" t="inlineStr">
        <is>
          <t>X1</t>
        </is>
      </c>
      <c r="E10" s="7">
        <v>1</v>
      </c>
      <c r="F10" s="7">
        <v>2048.0</v>
      </c>
      <c r="G10" s="7">
        <v>0.0</v>
      </c>
      <c r="H10" s="7">
        <v>2041.0</v>
      </c>
      <c r="I10" s="7">
        <v>2041.0</v>
      </c>
      <c r="J10" s="8">
        <v>2041.0</v>
      </c>
      <c r="K10" s="7">
        <v>2048.0</v>
      </c>
      <c r="L10" s="9">
        <v>-0.00341796875</v>
      </c>
      <c r="M10" s="8">
        <v>358.76953125</v>
      </c>
      <c r="N10" s="8">
        <v>16.35</v>
      </c>
      <c r="O10" s="7">
        <v>0</v>
      </c>
    </row>
    <row r="11" ht="20" customHeight="1">
      <c r="A11" s="11">
        <v>7</v>
      </c>
      <c r="B11" s="10" t="inlineStr">
        <is>
          <t>AMT103-V</t>
        </is>
      </c>
      <c r="C11" s="10" t="inlineStr">
        <is>
          <t>AMT_X1_7.mat</t>
        </is>
      </c>
      <c r="D11" s="11" t="inlineStr">
        <is>
          <t>X1</t>
        </is>
      </c>
      <c r="E11" s="12">
        <v>1</v>
      </c>
      <c r="F11" s="12">
        <v>2048.0</v>
      </c>
      <c r="G11" s="12">
        <v>0.0</v>
      </c>
      <c r="H11" s="12">
        <v>2030.0</v>
      </c>
      <c r="I11" s="12">
        <v>2030.0</v>
      </c>
      <c r="J11" s="13">
        <v>2030.0</v>
      </c>
      <c r="K11" s="12">
        <v>2048.0</v>
      </c>
      <c r="L11" s="14">
        <v>-0.0087890625</v>
      </c>
      <c r="M11" s="13">
        <v>356.8359375</v>
      </c>
      <c r="N11" s="13">
        <v>15.587</v>
      </c>
      <c r="O11" s="12">
        <v>0</v>
      </c>
    </row>
    <row r="12" ht="20" customHeight="1">
      <c r="A12" s="6">
        <v>8</v>
      </c>
      <c r="B12" s="5" t="inlineStr">
        <is>
          <t>AMT103-V</t>
        </is>
      </c>
      <c r="C12" s="5" t="inlineStr">
        <is>
          <t>AMT_X1_8.mat</t>
        </is>
      </c>
      <c r="D12" s="6" t="inlineStr">
        <is>
          <t>X1</t>
        </is>
      </c>
      <c r="E12" s="7">
        <v>1</v>
      </c>
      <c r="F12" s="7">
        <v>2048.0</v>
      </c>
      <c r="G12" s="7">
        <v>0.0</v>
      </c>
      <c r="H12" s="7">
        <v>2046.0</v>
      </c>
      <c r="I12" s="7">
        <v>2046.0</v>
      </c>
      <c r="J12" s="8">
        <v>2046.0</v>
      </c>
      <c r="K12" s="7">
        <v>2048.0</v>
      </c>
      <c r="L12" s="9">
        <v>-0.0009765625</v>
      </c>
      <c r="M12" s="8">
        <v>359.6484375</v>
      </c>
      <c r="N12" s="8">
        <v>14.576</v>
      </c>
      <c r="O12" s="7">
        <v>0</v>
      </c>
    </row>
    <row r="13" ht="20" customHeight="1">
      <c r="A13" s="11">
        <v>9</v>
      </c>
      <c r="B13" s="10" t="inlineStr">
        <is>
          <t>AMT103-V</t>
        </is>
      </c>
      <c r="C13" s="10" t="inlineStr">
        <is>
          <t>AMT_X1_9.mat</t>
        </is>
      </c>
      <c r="D13" s="11" t="inlineStr">
        <is>
          <t>X1</t>
        </is>
      </c>
      <c r="E13" s="12">
        <v>1</v>
      </c>
      <c r="F13" s="12">
        <v>2048.0</v>
      </c>
      <c r="G13" s="12">
        <v>0.0</v>
      </c>
      <c r="H13" s="12">
        <v>2075.0</v>
      </c>
      <c r="I13" s="12">
        <v>2075.0</v>
      </c>
      <c r="J13" s="13">
        <v>2075.0</v>
      </c>
      <c r="K13" s="12">
        <v>2048.0</v>
      </c>
      <c r="L13" s="14">
        <v>0.01318359375</v>
      </c>
      <c r="M13" s="13">
        <v>364.74609375</v>
      </c>
      <c r="N13" s="13">
        <v>15.329</v>
      </c>
      <c r="O13" s="12">
        <v>0</v>
      </c>
    </row>
    <row r="14" ht="20" customHeight="1">
      <c r="A14" s="6">
        <v>10</v>
      </c>
      <c r="B14" s="5" t="inlineStr">
        <is>
          <t>AMT103-V</t>
        </is>
      </c>
      <c r="C14" s="5" t="inlineStr">
        <is>
          <t>AMT_X1_10.mat</t>
        </is>
      </c>
      <c r="D14" s="6" t="inlineStr">
        <is>
          <t>X1</t>
        </is>
      </c>
      <c r="E14" s="7">
        <v>1</v>
      </c>
      <c r="F14" s="7">
        <v>2048.0</v>
      </c>
      <c r="G14" s="7">
        <v>0.0</v>
      </c>
      <c r="H14" s="7">
        <v>2078.0</v>
      </c>
      <c r="I14" s="7">
        <v>2078.0</v>
      </c>
      <c r="J14" s="8">
        <v>2078.0</v>
      </c>
      <c r="K14" s="7">
        <v>2048.0</v>
      </c>
      <c r="L14" s="9">
        <v>0.0146484375</v>
      </c>
      <c r="M14" s="8">
        <v>365.2734375</v>
      </c>
      <c r="N14" s="8">
        <v>16.091</v>
      </c>
      <c r="O14" s="7">
        <v>0</v>
      </c>
    </row>
    <row r="15" ht="20" customHeight="1">
      <c r="A15" s="11">
        <v>11</v>
      </c>
      <c r="B15" s="10" t="inlineStr">
        <is>
          <t>AMT103-V</t>
        </is>
      </c>
      <c r="C15" s="10" t="inlineStr">
        <is>
          <t>AMT_X2_1.mat</t>
        </is>
      </c>
      <c r="D15" s="11" t="inlineStr">
        <is>
          <t>X2</t>
        </is>
      </c>
      <c r="E15" s="12">
        <v>2</v>
      </c>
      <c r="F15" s="12">
        <v>4096.0</v>
      </c>
      <c r="G15" s="12">
        <v>0.0</v>
      </c>
      <c r="H15" s="12">
        <v>4099.0</v>
      </c>
      <c r="I15" s="12">
        <v>4099.0</v>
      </c>
      <c r="J15" s="13">
        <v>2049.5</v>
      </c>
      <c r="K15" s="12">
        <v>2048.0</v>
      </c>
      <c r="L15" s="14">
        <v>0.000732421875</v>
      </c>
      <c r="M15" s="13">
        <v>360.263671875</v>
      </c>
      <c r="N15" s="13">
        <v>13.069</v>
      </c>
      <c r="O15" s="12">
        <v>1</v>
      </c>
    </row>
    <row r="16" ht="20" customHeight="1">
      <c r="A16" s="6">
        <v>12</v>
      </c>
      <c r="B16" s="5" t="inlineStr">
        <is>
          <t>AMT103-V</t>
        </is>
      </c>
      <c r="C16" s="5" t="inlineStr">
        <is>
          <t>AMT_X2_2.mat</t>
        </is>
      </c>
      <c r="D16" s="6" t="inlineStr">
        <is>
          <t>X2</t>
        </is>
      </c>
      <c r="E16" s="7">
        <v>2</v>
      </c>
      <c r="F16" s="7">
        <v>4096.0</v>
      </c>
      <c r="G16" s="7">
        <v>0.0</v>
      </c>
      <c r="H16" s="7">
        <v>4098.0</v>
      </c>
      <c r="I16" s="7">
        <v>4098.0</v>
      </c>
      <c r="J16" s="8">
        <v>2049.0</v>
      </c>
      <c r="K16" s="7">
        <v>2048.0</v>
      </c>
      <c r="L16" s="9">
        <v>0.00048828125</v>
      </c>
      <c r="M16" s="8">
        <v>360.17578125</v>
      </c>
      <c r="N16" s="8">
        <v>14.068</v>
      </c>
      <c r="O16" s="7">
        <v>0</v>
      </c>
    </row>
    <row r="17" ht="20" customHeight="1">
      <c r="A17" s="11">
        <v>13</v>
      </c>
      <c r="B17" s="10" t="inlineStr">
        <is>
          <t>AMT103-V</t>
        </is>
      </c>
      <c r="C17" s="10" t="inlineStr">
        <is>
          <t>AMT_X2_3.mat</t>
        </is>
      </c>
      <c r="D17" s="11" t="inlineStr">
        <is>
          <t>X2</t>
        </is>
      </c>
      <c r="E17" s="12">
        <v>2</v>
      </c>
      <c r="F17" s="12">
        <v>4096.0</v>
      </c>
      <c r="G17" s="12">
        <v>0.0</v>
      </c>
      <c r="H17" s="12">
        <v>4158.0</v>
      </c>
      <c r="I17" s="12">
        <v>4158.0</v>
      </c>
      <c r="J17" s="13">
        <v>2079.0</v>
      </c>
      <c r="K17" s="12">
        <v>2048.0</v>
      </c>
      <c r="L17" s="14">
        <v>0.01513671875</v>
      </c>
      <c r="M17" s="13">
        <v>365.44921875</v>
      </c>
      <c r="N17" s="13">
        <v>14.311</v>
      </c>
      <c r="O17" s="12">
        <v>0</v>
      </c>
    </row>
    <row r="18" ht="20" customHeight="1">
      <c r="A18" s="6">
        <v>14</v>
      </c>
      <c r="B18" s="5" t="inlineStr">
        <is>
          <t>AMT103-V</t>
        </is>
      </c>
      <c r="C18" s="5" t="inlineStr">
        <is>
          <t>AMT_X2_4.mat</t>
        </is>
      </c>
      <c r="D18" s="6" t="inlineStr">
        <is>
          <t>X2</t>
        </is>
      </c>
      <c r="E18" s="7">
        <v>2</v>
      </c>
      <c r="F18" s="7">
        <v>4096.0</v>
      </c>
      <c r="G18" s="7">
        <v>0.0</v>
      </c>
      <c r="H18" s="7">
        <v>4109.0</v>
      </c>
      <c r="I18" s="7">
        <v>4109.0</v>
      </c>
      <c r="J18" s="8">
        <v>2054.5</v>
      </c>
      <c r="K18" s="7">
        <v>2048.0</v>
      </c>
      <c r="L18" s="9">
        <v>0.003173828125</v>
      </c>
      <c r="M18" s="8">
        <v>361.142578125</v>
      </c>
      <c r="N18" s="8">
        <v>13.036</v>
      </c>
      <c r="O18" s="7">
        <v>1</v>
      </c>
    </row>
    <row r="19" ht="20" customHeight="1">
      <c r="A19" s="11">
        <v>15</v>
      </c>
      <c r="B19" s="10" t="inlineStr">
        <is>
          <t>AMT103-V</t>
        </is>
      </c>
      <c r="C19" s="10" t="inlineStr">
        <is>
          <t>AMT_X2_5.mat</t>
        </is>
      </c>
      <c r="D19" s="11" t="inlineStr">
        <is>
          <t>X2</t>
        </is>
      </c>
      <c r="E19" s="12">
        <v>2</v>
      </c>
      <c r="F19" s="12">
        <v>4096.0</v>
      </c>
      <c r="G19" s="12">
        <v>0.0</v>
      </c>
      <c r="H19" s="12">
        <v>4101.0</v>
      </c>
      <c r="I19" s="12">
        <v>4101.0</v>
      </c>
      <c r="J19" s="13">
        <v>2050.5</v>
      </c>
      <c r="K19" s="12">
        <v>2048.0</v>
      </c>
      <c r="L19" s="14">
        <v>0.001220703125</v>
      </c>
      <c r="M19" s="13">
        <v>360.439453125</v>
      </c>
      <c r="N19" s="13">
        <v>12.784</v>
      </c>
      <c r="O19" s="12">
        <v>0</v>
      </c>
    </row>
    <row r="20" ht="20" customHeight="1">
      <c r="A20" s="6">
        <v>16</v>
      </c>
      <c r="B20" s="5" t="inlineStr">
        <is>
          <t>AMT103-V</t>
        </is>
      </c>
      <c r="C20" s="5" t="inlineStr">
        <is>
          <t>AMT_X2_6.mat</t>
        </is>
      </c>
      <c r="D20" s="6" t="inlineStr">
        <is>
          <t>X2</t>
        </is>
      </c>
      <c r="E20" s="7">
        <v>2</v>
      </c>
      <c r="F20" s="7">
        <v>4096.0</v>
      </c>
      <c r="G20" s="7">
        <v>0.0</v>
      </c>
      <c r="H20" s="7">
        <v>4095.0</v>
      </c>
      <c r="I20" s="7">
        <v>4095.0</v>
      </c>
      <c r="J20" s="8">
        <v>2047.5</v>
      </c>
      <c r="K20" s="7">
        <v>2048.0</v>
      </c>
      <c r="L20" s="9">
        <v>-0.000244140625</v>
      </c>
      <c r="M20" s="8">
        <v>359.912109375</v>
      </c>
      <c r="N20" s="8">
        <v>13.814</v>
      </c>
      <c r="O20" s="7">
        <v>0</v>
      </c>
    </row>
    <row r="21" ht="20" customHeight="1">
      <c r="A21" s="11">
        <v>17</v>
      </c>
      <c r="B21" s="10" t="inlineStr">
        <is>
          <t>AMT103-V</t>
        </is>
      </c>
      <c r="C21" s="10" t="inlineStr">
        <is>
          <t>AMT_X2_7.mat</t>
        </is>
      </c>
      <c r="D21" s="11" t="inlineStr">
        <is>
          <t>X2</t>
        </is>
      </c>
      <c r="E21" s="12">
        <v>2</v>
      </c>
      <c r="F21" s="12">
        <v>4096.0</v>
      </c>
      <c r="G21" s="12">
        <v>0.0</v>
      </c>
      <c r="H21" s="12">
        <v>4101.0</v>
      </c>
      <c r="I21" s="12">
        <v>4101.0</v>
      </c>
      <c r="J21" s="13">
        <v>2050.5</v>
      </c>
      <c r="K21" s="12">
        <v>2048.0</v>
      </c>
      <c r="L21" s="14">
        <v>0.001220703125</v>
      </c>
      <c r="M21" s="13">
        <v>360.439453125</v>
      </c>
      <c r="N21" s="13">
        <v>12.8</v>
      </c>
      <c r="O21" s="12">
        <v>0</v>
      </c>
    </row>
    <row r="22" ht="20" customHeight="1">
      <c r="A22" s="6">
        <v>18</v>
      </c>
      <c r="B22" s="5" t="inlineStr">
        <is>
          <t>AMT103-V</t>
        </is>
      </c>
      <c r="C22" s="5" t="inlineStr">
        <is>
          <t>AMT_X2_8.mat</t>
        </is>
      </c>
      <c r="D22" s="6" t="inlineStr">
        <is>
          <t>X2</t>
        </is>
      </c>
      <c r="E22" s="7">
        <v>2</v>
      </c>
      <c r="F22" s="7">
        <v>4096.0</v>
      </c>
      <c r="G22" s="7">
        <v>0.0</v>
      </c>
      <c r="H22" s="7">
        <v>4098.0</v>
      </c>
      <c r="I22" s="7">
        <v>4098.0</v>
      </c>
      <c r="J22" s="8">
        <v>2049.0</v>
      </c>
      <c r="K22" s="7">
        <v>2048.0</v>
      </c>
      <c r="L22" s="9">
        <v>0.00048828125</v>
      </c>
      <c r="M22" s="8">
        <v>360.17578125</v>
      </c>
      <c r="N22" s="8">
        <v>13.042</v>
      </c>
      <c r="O22" s="7">
        <v>1</v>
      </c>
    </row>
    <row r="23" ht="20" customHeight="1">
      <c r="A23" s="11">
        <v>19</v>
      </c>
      <c r="B23" s="10" t="inlineStr">
        <is>
          <t>AMT103-V</t>
        </is>
      </c>
      <c r="C23" s="10" t="inlineStr">
        <is>
          <t>AMT_X2_9.mat</t>
        </is>
      </c>
      <c r="D23" s="11" t="inlineStr">
        <is>
          <t>X2</t>
        </is>
      </c>
      <c r="E23" s="12">
        <v>2</v>
      </c>
      <c r="F23" s="12">
        <v>4096.0</v>
      </c>
      <c r="G23" s="12">
        <v>0.0</v>
      </c>
      <c r="H23" s="12">
        <v>4112.0</v>
      </c>
      <c r="I23" s="12">
        <v>4112.0</v>
      </c>
      <c r="J23" s="13">
        <v>2056.0</v>
      </c>
      <c r="K23" s="12">
        <v>2048.0</v>
      </c>
      <c r="L23" s="14">
        <v>0.00390625</v>
      </c>
      <c r="M23" s="13">
        <v>361.40625</v>
      </c>
      <c r="N23" s="13">
        <v>12.797</v>
      </c>
      <c r="O23" s="12">
        <v>0</v>
      </c>
    </row>
    <row r="24" ht="20" customHeight="1">
      <c r="A24" s="6">
        <v>20</v>
      </c>
      <c r="B24" s="5" t="inlineStr">
        <is>
          <t>AMT103-V</t>
        </is>
      </c>
      <c r="C24" s="5" t="inlineStr">
        <is>
          <t>AMT_X2_10.mat</t>
        </is>
      </c>
      <c r="D24" s="6" t="inlineStr">
        <is>
          <t>X2</t>
        </is>
      </c>
      <c r="E24" s="7">
        <v>2</v>
      </c>
      <c r="F24" s="7">
        <v>4096.0</v>
      </c>
      <c r="G24" s="7">
        <v>0.0</v>
      </c>
      <c r="H24" s="7">
        <v>4106.0</v>
      </c>
      <c r="I24" s="7">
        <v>4106.0</v>
      </c>
      <c r="J24" s="8">
        <v>2053.0</v>
      </c>
      <c r="K24" s="7">
        <v>2048.0</v>
      </c>
      <c r="L24" s="9">
        <v>0.00244140625</v>
      </c>
      <c r="M24" s="8">
        <v>360.87890625</v>
      </c>
      <c r="N24" s="8">
        <v>12.294</v>
      </c>
      <c r="O24" s="7">
        <v>0</v>
      </c>
    </row>
    <row r="25" ht="20" customHeight="1">
      <c r="A25" s="11">
        <v>21</v>
      </c>
      <c r="B25" s="10" t="inlineStr">
        <is>
          <t>AMT103-V</t>
        </is>
      </c>
      <c r="C25" s="10" t="inlineStr">
        <is>
          <t>AMT_X4_1.mat</t>
        </is>
      </c>
      <c r="D25" s="11" t="inlineStr">
        <is>
          <t>X4</t>
        </is>
      </c>
      <c r="E25" s="12">
        <v>4</v>
      </c>
      <c r="F25" s="12">
        <v>8192.0</v>
      </c>
      <c r="G25" s="12">
        <v>1.0</v>
      </c>
      <c r="H25" s="12">
        <v>8194.0</v>
      </c>
      <c r="I25" s="12">
        <v>8193.0</v>
      </c>
      <c r="J25" s="13">
        <v>2048.25</v>
      </c>
      <c r="K25" s="12">
        <v>2048.0</v>
      </c>
      <c r="L25" s="14">
        <v>0.0001220703125</v>
      </c>
      <c r="M25" s="13">
        <v>360.0439453125</v>
      </c>
      <c r="N25" s="13">
        <v>14.768</v>
      </c>
      <c r="O25" s="12">
        <v>0</v>
      </c>
    </row>
    <row r="26" ht="20" customHeight="1">
      <c r="A26" s="6">
        <v>22</v>
      </c>
      <c r="B26" s="5" t="inlineStr">
        <is>
          <t>AMT103-V</t>
        </is>
      </c>
      <c r="C26" s="5" t="inlineStr">
        <is>
          <t>AMT_X4_2.mat</t>
        </is>
      </c>
      <c r="D26" s="6" t="inlineStr">
        <is>
          <t>X4</t>
        </is>
      </c>
      <c r="E26" s="7">
        <v>4</v>
      </c>
      <c r="F26" s="7">
        <v>8192.0</v>
      </c>
      <c r="G26" s="7">
        <v>0.0</v>
      </c>
      <c r="H26" s="7">
        <v>8347.0</v>
      </c>
      <c r="I26" s="7">
        <v>8347.0</v>
      </c>
      <c r="J26" s="8">
        <v>2086.75</v>
      </c>
      <c r="K26" s="7">
        <v>2048.0</v>
      </c>
      <c r="L26" s="9">
        <v>0.0189208984375</v>
      </c>
      <c r="M26" s="8">
        <v>366.8115234375</v>
      </c>
      <c r="N26" s="8">
        <v>13.309</v>
      </c>
      <c r="O26" s="7">
        <v>0</v>
      </c>
    </row>
    <row r="27" ht="20" customHeight="1">
      <c r="A27" s="11">
        <v>23</v>
      </c>
      <c r="B27" s="10" t="inlineStr">
        <is>
          <t>AMT103-V</t>
        </is>
      </c>
      <c r="C27" s="10" t="inlineStr">
        <is>
          <t>AMT_X4_3.mat</t>
        </is>
      </c>
      <c r="D27" s="11" t="inlineStr">
        <is>
          <t>X4</t>
        </is>
      </c>
      <c r="E27" s="12">
        <v>4</v>
      </c>
      <c r="F27" s="12">
        <v>8192.0</v>
      </c>
      <c r="G27" s="12">
        <v>1.0</v>
      </c>
      <c r="H27" s="12">
        <v>8175.0</v>
      </c>
      <c r="I27" s="12">
        <v>8174.0</v>
      </c>
      <c r="J27" s="13">
        <v>2043.5</v>
      </c>
      <c r="K27" s="12">
        <v>2048.0</v>
      </c>
      <c r="L27" s="14">
        <v>-0.002197265625</v>
      </c>
      <c r="M27" s="13">
        <v>359.208984375</v>
      </c>
      <c r="N27" s="13">
        <v>13.058</v>
      </c>
      <c r="O27" s="12">
        <v>0</v>
      </c>
    </row>
    <row r="28" ht="20" customHeight="1">
      <c r="A28" s="6">
        <v>24</v>
      </c>
      <c r="B28" s="5" t="inlineStr">
        <is>
          <t>AMT103-V</t>
        </is>
      </c>
      <c r="C28" s="5" t="inlineStr">
        <is>
          <t>AMT_X4_4.mat</t>
        </is>
      </c>
      <c r="D28" s="6" t="inlineStr">
        <is>
          <t>X4</t>
        </is>
      </c>
      <c r="E28" s="7">
        <v>4</v>
      </c>
      <c r="F28" s="7">
        <v>8192.0</v>
      </c>
      <c r="G28" s="7">
        <v>0.0</v>
      </c>
      <c r="H28" s="7">
        <v>8190.0</v>
      </c>
      <c r="I28" s="7">
        <v>8190.0</v>
      </c>
      <c r="J28" s="8">
        <v>2047.5</v>
      </c>
      <c r="K28" s="7">
        <v>2048.0</v>
      </c>
      <c r="L28" s="9">
        <v>-0.000244140625</v>
      </c>
      <c r="M28" s="8">
        <v>359.912109375</v>
      </c>
      <c r="N28" s="8">
        <v>12.575</v>
      </c>
      <c r="O28" s="7">
        <v>1</v>
      </c>
    </row>
    <row r="29" ht="20" customHeight="1">
      <c r="A29" s="11">
        <v>25</v>
      </c>
      <c r="B29" s="10" t="inlineStr">
        <is>
          <t>AMT103-V</t>
        </is>
      </c>
      <c r="C29" s="10" t="inlineStr">
        <is>
          <t>AMT_X4_5.mat</t>
        </is>
      </c>
      <c r="D29" s="11" t="inlineStr">
        <is>
          <t>X4</t>
        </is>
      </c>
      <c r="E29" s="12">
        <v>4</v>
      </c>
      <c r="F29" s="12">
        <v>8192.0</v>
      </c>
      <c r="G29" s="12">
        <v>0.0</v>
      </c>
      <c r="H29" s="12">
        <v>8263.0</v>
      </c>
      <c r="I29" s="12">
        <v>8263.0</v>
      </c>
      <c r="J29" s="13">
        <v>2065.75</v>
      </c>
      <c r="K29" s="12">
        <v>2048.0</v>
      </c>
      <c r="L29" s="14">
        <v>0.0086669921875</v>
      </c>
      <c r="M29" s="13">
        <v>363.1201171875</v>
      </c>
      <c r="N29" s="13">
        <v>13.312</v>
      </c>
      <c r="O29" s="12">
        <v>0</v>
      </c>
    </row>
    <row r="30" ht="20" customHeight="1">
      <c r="A30" s="6">
        <v>26</v>
      </c>
      <c r="B30" s="5" t="inlineStr">
        <is>
          <t>AMT103-V</t>
        </is>
      </c>
      <c r="C30" s="5" t="inlineStr">
        <is>
          <t>AMT_X4_6.mat</t>
        </is>
      </c>
      <c r="D30" s="6" t="inlineStr">
        <is>
          <t>X4</t>
        </is>
      </c>
      <c r="E30" s="7">
        <v>4</v>
      </c>
      <c r="F30" s="7">
        <v>8192.0</v>
      </c>
      <c r="G30" s="7">
        <v>0.0</v>
      </c>
      <c r="H30" s="7">
        <v>8239.0</v>
      </c>
      <c r="I30" s="7">
        <v>8239.0</v>
      </c>
      <c r="J30" s="8">
        <v>2059.75</v>
      </c>
      <c r="K30" s="7">
        <v>2048.0</v>
      </c>
      <c r="L30" s="9">
        <v>0.0057373046875</v>
      </c>
      <c r="M30" s="8">
        <v>362.0654296875</v>
      </c>
      <c r="N30" s="8">
        <v>13.573</v>
      </c>
      <c r="O30" s="7">
        <v>0</v>
      </c>
    </row>
    <row r="31" ht="20" customHeight="1">
      <c r="A31" s="11">
        <v>27</v>
      </c>
      <c r="B31" s="10" t="inlineStr">
        <is>
          <t>AMT103-V</t>
        </is>
      </c>
      <c r="C31" s="10" t="inlineStr">
        <is>
          <t>AMT_X4_7.mat</t>
        </is>
      </c>
      <c r="D31" s="11" t="inlineStr">
        <is>
          <t>X4</t>
        </is>
      </c>
      <c r="E31" s="12">
        <v>4</v>
      </c>
      <c r="F31" s="12">
        <v>8192.0</v>
      </c>
      <c r="G31" s="12">
        <v>0.0</v>
      </c>
      <c r="H31" s="12">
        <v>8342.0</v>
      </c>
      <c r="I31" s="12">
        <v>8342.0</v>
      </c>
      <c r="J31" s="13">
        <v>2085.5</v>
      </c>
      <c r="K31" s="12">
        <v>2048.0</v>
      </c>
      <c r="L31" s="14">
        <v>0.018310546875</v>
      </c>
      <c r="M31" s="13">
        <v>366.591796875</v>
      </c>
      <c r="N31" s="13">
        <v>13.806</v>
      </c>
      <c r="O31" s="12">
        <v>0</v>
      </c>
    </row>
    <row r="32" ht="20" customHeight="1">
      <c r="A32" s="6">
        <v>28</v>
      </c>
      <c r="B32" s="5" t="inlineStr">
        <is>
          <t>AMT103-V</t>
        </is>
      </c>
      <c r="C32" s="5" t="inlineStr">
        <is>
          <t>AMT_X4_8.mat</t>
        </is>
      </c>
      <c r="D32" s="6" t="inlineStr">
        <is>
          <t>X4</t>
        </is>
      </c>
      <c r="E32" s="7">
        <v>4</v>
      </c>
      <c r="F32" s="7">
        <v>8192.0</v>
      </c>
      <c r="G32" s="7">
        <v>1.0</v>
      </c>
      <c r="H32" s="7">
        <v>8258.0</v>
      </c>
      <c r="I32" s="7">
        <v>8257.0</v>
      </c>
      <c r="J32" s="8">
        <v>2064.25</v>
      </c>
      <c r="K32" s="7">
        <v>2048.0</v>
      </c>
      <c r="L32" s="9">
        <v>0.0079345703125</v>
      </c>
      <c r="M32" s="8">
        <v>362.8564453125</v>
      </c>
      <c r="N32" s="8">
        <v>12.043</v>
      </c>
      <c r="O32" s="7">
        <v>0</v>
      </c>
    </row>
    <row r="33" ht="20" customHeight="1">
      <c r="A33" s="11">
        <v>29</v>
      </c>
      <c r="B33" s="10" t="inlineStr">
        <is>
          <t>AMT103-V</t>
        </is>
      </c>
      <c r="C33" s="10" t="inlineStr">
        <is>
          <t>AMT_X4_9.mat</t>
        </is>
      </c>
      <c r="D33" s="11" t="inlineStr">
        <is>
          <t>X4</t>
        </is>
      </c>
      <c r="E33" s="12">
        <v>4</v>
      </c>
      <c r="F33" s="12">
        <v>8192.0</v>
      </c>
      <c r="G33" s="12">
        <v>0.0</v>
      </c>
      <c r="H33" s="12">
        <v>8253.0</v>
      </c>
      <c r="I33" s="12">
        <v>8253.0</v>
      </c>
      <c r="J33" s="13">
        <v>2063.25</v>
      </c>
      <c r="K33" s="12">
        <v>2048.0</v>
      </c>
      <c r="L33" s="14">
        <v>0.0074462890625</v>
      </c>
      <c r="M33" s="13">
        <v>362.6806640625</v>
      </c>
      <c r="N33" s="13">
        <v>15.068</v>
      </c>
      <c r="O33" s="12">
        <v>0</v>
      </c>
    </row>
    <row r="34" ht="20" customHeight="1">
      <c r="A34" s="6">
        <v>30</v>
      </c>
      <c r="B34" s="5" t="inlineStr">
        <is>
          <t>AMT103-V</t>
        </is>
      </c>
      <c r="C34" s="5" t="inlineStr">
        <is>
          <t>AMT_X4_10.mat</t>
        </is>
      </c>
      <c r="D34" s="6" t="inlineStr">
        <is>
          <t>X4</t>
        </is>
      </c>
      <c r="E34" s="7">
        <v>4</v>
      </c>
      <c r="F34" s="7">
        <v>8192.0</v>
      </c>
      <c r="G34" s="7">
        <v>0.0</v>
      </c>
      <c r="H34" s="7">
        <v>8267.0</v>
      </c>
      <c r="I34" s="7">
        <v>8267.0</v>
      </c>
      <c r="J34" s="8">
        <v>2066.75</v>
      </c>
      <c r="K34" s="7">
        <v>2048.0</v>
      </c>
      <c r="L34" s="9">
        <v>0.0091552734375</v>
      </c>
      <c r="M34" s="8">
        <v>363.2958984375</v>
      </c>
      <c r="N34" s="8">
        <v>12.529</v>
      </c>
      <c r="O34" s="7">
        <v>0</v>
      </c>
    </row>
    <row r="35" ht="20" customHeight="1">
      <c r="A35" s="11">
        <v>31</v>
      </c>
      <c r="B35" s="10" t="inlineStr">
        <is>
          <t>Bourns PEC11R</t>
        </is>
      </c>
      <c r="C35" s="10" t="inlineStr">
        <is>
          <t>bourns_X1_1.mat</t>
        </is>
      </c>
      <c r="D35" s="11" t="inlineStr">
        <is>
          <t>X1</t>
        </is>
      </c>
      <c r="E35" s="12">
        <v>1</v>
      </c>
      <c r="F35" s="12">
        <v>24.0</v>
      </c>
      <c r="G35" s="12">
        <v>0.0</v>
      </c>
      <c r="H35" s="12">
        <v>24.0</v>
      </c>
      <c r="I35" s="12">
        <v>24.0</v>
      </c>
      <c r="J35" s="13">
        <v>24.0</v>
      </c>
      <c r="K35" s="12">
        <v>24.0</v>
      </c>
      <c r="L35" s="14">
        <v>0.0</v>
      </c>
      <c r="M35" s="13">
        <v>360.0</v>
      </c>
      <c r="N35" s="13">
        <v>50.8</v>
      </c>
      <c r="O35" s="12">
        <v>0</v>
      </c>
    </row>
    <row r="36" ht="20" customHeight="1">
      <c r="A36" s="6">
        <v>32</v>
      </c>
      <c r="B36" s="5" t="inlineStr">
        <is>
          <t>Bourns PEC11R</t>
        </is>
      </c>
      <c r="C36" s="5" t="inlineStr">
        <is>
          <t>bourns_X1_2.mat</t>
        </is>
      </c>
      <c r="D36" s="6" t="inlineStr">
        <is>
          <t>X1</t>
        </is>
      </c>
      <c r="E36" s="7">
        <v>1</v>
      </c>
      <c r="F36" s="7">
        <v>24.0</v>
      </c>
      <c r="G36" s="7">
        <v>0.0</v>
      </c>
      <c r="H36" s="7">
        <v>24.0</v>
      </c>
      <c r="I36" s="7">
        <v>24.0</v>
      </c>
      <c r="J36" s="8">
        <v>24.0</v>
      </c>
      <c r="K36" s="7">
        <v>24.0</v>
      </c>
      <c r="L36" s="9">
        <v>0.0</v>
      </c>
      <c r="M36" s="8">
        <v>360.0</v>
      </c>
      <c r="N36" s="8">
        <v>31.992</v>
      </c>
      <c r="O36" s="7">
        <v>1</v>
      </c>
    </row>
    <row r="37" ht="20" customHeight="1">
      <c r="A37" s="11">
        <v>33</v>
      </c>
      <c r="B37" s="10" t="inlineStr">
        <is>
          <t>Bourns PEC11R</t>
        </is>
      </c>
      <c r="C37" s="10" t="inlineStr">
        <is>
          <t>bourns_X1_3.mat</t>
        </is>
      </c>
      <c r="D37" s="11" t="inlineStr">
        <is>
          <t>X1</t>
        </is>
      </c>
      <c r="E37" s="12">
        <v>1</v>
      </c>
      <c r="F37" s="12">
        <v>24.0</v>
      </c>
      <c r="G37" s="12">
        <v>0.0</v>
      </c>
      <c r="H37" s="12">
        <v>24.0</v>
      </c>
      <c r="I37" s="12">
        <v>24.0</v>
      </c>
      <c r="J37" s="13">
        <v>24.0</v>
      </c>
      <c r="K37" s="12">
        <v>24.0</v>
      </c>
      <c r="L37" s="14">
        <v>0.0</v>
      </c>
      <c r="M37" s="13">
        <v>360.0</v>
      </c>
      <c r="N37" s="13">
        <v>29.751</v>
      </c>
      <c r="O37" s="12">
        <v>0</v>
      </c>
    </row>
    <row r="38" ht="20" customHeight="1">
      <c r="A38" s="6">
        <v>34</v>
      </c>
      <c r="B38" s="5" t="inlineStr">
        <is>
          <t>Bourns PEC11R</t>
        </is>
      </c>
      <c r="C38" s="5" t="inlineStr">
        <is>
          <t>bourns_X1_4.mat</t>
        </is>
      </c>
      <c r="D38" s="6" t="inlineStr">
        <is>
          <t>X1</t>
        </is>
      </c>
      <c r="E38" s="7">
        <v>1</v>
      </c>
      <c r="F38" s="7">
        <v>24.0</v>
      </c>
      <c r="G38" s="7">
        <v>0.0</v>
      </c>
      <c r="H38" s="7">
        <v>24.0</v>
      </c>
      <c r="I38" s="7">
        <v>24.0</v>
      </c>
      <c r="J38" s="8">
        <v>24.0</v>
      </c>
      <c r="K38" s="7">
        <v>24.0</v>
      </c>
      <c r="L38" s="9">
        <v>0.0</v>
      </c>
      <c r="M38" s="8">
        <v>360.0</v>
      </c>
      <c r="N38" s="8">
        <v>29.995</v>
      </c>
      <c r="O38" s="7">
        <v>0</v>
      </c>
    </row>
    <row r="39" ht="20" customHeight="1">
      <c r="A39" s="11">
        <v>35</v>
      </c>
      <c r="B39" s="10" t="inlineStr">
        <is>
          <t>Bourns PEC11R</t>
        </is>
      </c>
      <c r="C39" s="10" t="inlineStr">
        <is>
          <t>bourns_X1_5.mat</t>
        </is>
      </c>
      <c r="D39" s="11" t="inlineStr">
        <is>
          <t>X1</t>
        </is>
      </c>
      <c r="E39" s="12">
        <v>1</v>
      </c>
      <c r="F39" s="12">
        <v>24.0</v>
      </c>
      <c r="G39" s="12">
        <v>0.0</v>
      </c>
      <c r="H39" s="12">
        <v>24.0</v>
      </c>
      <c r="I39" s="12">
        <v>24.0</v>
      </c>
      <c r="J39" s="13">
        <v>24.0</v>
      </c>
      <c r="K39" s="12">
        <v>24.0</v>
      </c>
      <c r="L39" s="14">
        <v>0.0</v>
      </c>
      <c r="M39" s="13">
        <v>360.0</v>
      </c>
      <c r="N39" s="13">
        <v>30.212</v>
      </c>
      <c r="O39" s="12">
        <v>0</v>
      </c>
    </row>
    <row r="40" ht="20" customHeight="1">
      <c r="A40" s="6">
        <v>36</v>
      </c>
      <c r="B40" s="5" t="inlineStr">
        <is>
          <t>Bourns PEC11R</t>
        </is>
      </c>
      <c r="C40" s="5" t="inlineStr">
        <is>
          <t>bourns_X1_6.mat</t>
        </is>
      </c>
      <c r="D40" s="6" t="inlineStr">
        <is>
          <t>X1</t>
        </is>
      </c>
      <c r="E40" s="7">
        <v>1</v>
      </c>
      <c r="F40" s="7">
        <v>24.0</v>
      </c>
      <c r="G40" s="7">
        <v>0.0</v>
      </c>
      <c r="H40" s="7">
        <v>24.0</v>
      </c>
      <c r="I40" s="7">
        <v>24.0</v>
      </c>
      <c r="J40" s="8">
        <v>24.0</v>
      </c>
      <c r="K40" s="7">
        <v>24.0</v>
      </c>
      <c r="L40" s="9">
        <v>0.0</v>
      </c>
      <c r="M40" s="8">
        <v>360.0</v>
      </c>
      <c r="N40" s="8">
        <v>29.734</v>
      </c>
      <c r="O40" s="7">
        <v>0</v>
      </c>
    </row>
    <row r="41" ht="20" customHeight="1">
      <c r="A41" s="11">
        <v>37</v>
      </c>
      <c r="B41" s="10" t="inlineStr">
        <is>
          <t>Bourns PEC11R</t>
        </is>
      </c>
      <c r="C41" s="10" t="inlineStr">
        <is>
          <t>bourns_X1_7.mat</t>
        </is>
      </c>
      <c r="D41" s="11" t="inlineStr">
        <is>
          <t>X1</t>
        </is>
      </c>
      <c r="E41" s="12">
        <v>1</v>
      </c>
      <c r="F41" s="12">
        <v>24.0</v>
      </c>
      <c r="G41" s="12">
        <v>0.0</v>
      </c>
      <c r="H41" s="12">
        <v>24.0</v>
      </c>
      <c r="I41" s="12">
        <v>24.0</v>
      </c>
      <c r="J41" s="13">
        <v>24.0</v>
      </c>
      <c r="K41" s="12">
        <v>24.0</v>
      </c>
      <c r="L41" s="14">
        <v>0.0</v>
      </c>
      <c r="M41" s="13">
        <v>360.0</v>
      </c>
      <c r="N41" s="13">
        <v>30.283</v>
      </c>
      <c r="O41" s="12">
        <v>0</v>
      </c>
    </row>
    <row r="42" ht="20" customHeight="1">
      <c r="A42" s="6">
        <v>38</v>
      </c>
      <c r="B42" s="5" t="inlineStr">
        <is>
          <t>Bourns PEC11R</t>
        </is>
      </c>
      <c r="C42" s="5" t="inlineStr">
        <is>
          <t>bourns_X1_8.mat</t>
        </is>
      </c>
      <c r="D42" s="6" t="inlineStr">
        <is>
          <t>X1</t>
        </is>
      </c>
      <c r="E42" s="7">
        <v>1</v>
      </c>
      <c r="F42" s="7">
        <v>24.0</v>
      </c>
      <c r="G42" s="7">
        <v>0.0</v>
      </c>
      <c r="H42" s="7">
        <v>24.0</v>
      </c>
      <c r="I42" s="7">
        <v>24.0</v>
      </c>
      <c r="J42" s="8">
        <v>24.0</v>
      </c>
      <c r="K42" s="7">
        <v>24.0</v>
      </c>
      <c r="L42" s="9">
        <v>0.0</v>
      </c>
      <c r="M42" s="8">
        <v>360.0</v>
      </c>
      <c r="N42" s="8">
        <v>30.231</v>
      </c>
      <c r="O42" s="7">
        <v>0</v>
      </c>
    </row>
    <row r="43" ht="20" customHeight="1">
      <c r="A43" s="11">
        <v>39</v>
      </c>
      <c r="B43" s="10" t="inlineStr">
        <is>
          <t>Bourns PEC11R</t>
        </is>
      </c>
      <c r="C43" s="10" t="inlineStr">
        <is>
          <t>bourns_X1_9.mat</t>
        </is>
      </c>
      <c r="D43" s="11" t="inlineStr">
        <is>
          <t>X1</t>
        </is>
      </c>
      <c r="E43" s="12">
        <v>1</v>
      </c>
      <c r="F43" s="12">
        <v>24.0</v>
      </c>
      <c r="G43" s="12">
        <v>0.0</v>
      </c>
      <c r="H43" s="12">
        <v>24.0</v>
      </c>
      <c r="I43" s="12">
        <v>24.0</v>
      </c>
      <c r="J43" s="13">
        <v>24.0</v>
      </c>
      <c r="K43" s="12">
        <v>24.0</v>
      </c>
      <c r="L43" s="14">
        <v>0.0</v>
      </c>
      <c r="M43" s="13">
        <v>360.0</v>
      </c>
      <c r="N43" s="13">
        <v>29.984</v>
      </c>
      <c r="O43" s="12">
        <v>0</v>
      </c>
    </row>
    <row r="44" ht="20" customHeight="1">
      <c r="A44" s="6">
        <v>40</v>
      </c>
      <c r="B44" s="5" t="inlineStr">
        <is>
          <t>Bourns PEC11R</t>
        </is>
      </c>
      <c r="C44" s="5" t="inlineStr">
        <is>
          <t>bourns_X1_10.mat</t>
        </is>
      </c>
      <c r="D44" s="6" t="inlineStr">
        <is>
          <t>X1</t>
        </is>
      </c>
      <c r="E44" s="7">
        <v>1</v>
      </c>
      <c r="F44" s="7">
        <v>24.0</v>
      </c>
      <c r="G44" s="7">
        <v>0.0</v>
      </c>
      <c r="H44" s="7">
        <v>24.0</v>
      </c>
      <c r="I44" s="7">
        <v>24.0</v>
      </c>
      <c r="J44" s="8">
        <v>24.0</v>
      </c>
      <c r="K44" s="7">
        <v>24.0</v>
      </c>
      <c r="L44" s="9">
        <v>0.0</v>
      </c>
      <c r="M44" s="8">
        <v>360.0</v>
      </c>
      <c r="N44" s="8">
        <v>31.238</v>
      </c>
      <c r="O44" s="7">
        <v>0</v>
      </c>
    </row>
    <row r="45" ht="20" customHeight="1">
      <c r="A45" s="11">
        <v>41</v>
      </c>
      <c r="B45" s="10" t="inlineStr">
        <is>
          <t>Bourns PEC11R</t>
        </is>
      </c>
      <c r="C45" s="10" t="inlineStr">
        <is>
          <t>bourns_X2_1.mat</t>
        </is>
      </c>
      <c r="D45" s="11" t="inlineStr">
        <is>
          <t>X2</t>
        </is>
      </c>
      <c r="E45" s="12">
        <v>2</v>
      </c>
      <c r="F45" s="12">
        <v>48.0</v>
      </c>
      <c r="G45" s="12">
        <v>0.0</v>
      </c>
      <c r="H45" s="12">
        <v>48.0</v>
      </c>
      <c r="I45" s="12">
        <v>48.0</v>
      </c>
      <c r="J45" s="13">
        <v>24.0</v>
      </c>
      <c r="K45" s="12">
        <v>24.0</v>
      </c>
      <c r="L45" s="14">
        <v>0.0</v>
      </c>
      <c r="M45" s="13">
        <v>360.0</v>
      </c>
      <c r="N45" s="13">
        <v>29.464</v>
      </c>
      <c r="O45" s="12">
        <v>0</v>
      </c>
    </row>
    <row r="46" ht="20" customHeight="1">
      <c r="A46" s="6">
        <v>42</v>
      </c>
      <c r="B46" s="5" t="inlineStr">
        <is>
          <t>Bourns PEC11R</t>
        </is>
      </c>
      <c r="C46" s="5" t="inlineStr">
        <is>
          <t>bourns_X2_2.mat</t>
        </is>
      </c>
      <c r="D46" s="6" t="inlineStr">
        <is>
          <t>X2</t>
        </is>
      </c>
      <c r="E46" s="7">
        <v>2</v>
      </c>
      <c r="F46" s="7">
        <v>48.0</v>
      </c>
      <c r="G46" s="7">
        <v>0.0</v>
      </c>
      <c r="H46" s="7">
        <v>48.0</v>
      </c>
      <c r="I46" s="7">
        <v>48.0</v>
      </c>
      <c r="J46" s="8">
        <v>24.0</v>
      </c>
      <c r="K46" s="7">
        <v>24.0</v>
      </c>
      <c r="L46" s="9">
        <v>0.0</v>
      </c>
      <c r="M46" s="8">
        <v>360.0</v>
      </c>
      <c r="N46" s="8">
        <v>29.681</v>
      </c>
      <c r="O46" s="7">
        <v>0</v>
      </c>
    </row>
    <row r="47" ht="20" customHeight="1">
      <c r="A47" s="11">
        <v>43</v>
      </c>
      <c r="B47" s="10" t="inlineStr">
        <is>
          <t>Bourns PEC11R</t>
        </is>
      </c>
      <c r="C47" s="10" t="inlineStr">
        <is>
          <t>bourns_X2_3.mat</t>
        </is>
      </c>
      <c r="D47" s="11" t="inlineStr">
        <is>
          <t>X2</t>
        </is>
      </c>
      <c r="E47" s="12">
        <v>2</v>
      </c>
      <c r="F47" s="12">
        <v>48.0</v>
      </c>
      <c r="G47" s="12">
        <v>0.0</v>
      </c>
      <c r="H47" s="12">
        <v>48.0</v>
      </c>
      <c r="I47" s="12">
        <v>48.0</v>
      </c>
      <c r="J47" s="13">
        <v>24.0</v>
      </c>
      <c r="K47" s="12">
        <v>24.0</v>
      </c>
      <c r="L47" s="14">
        <v>0.0</v>
      </c>
      <c r="M47" s="13">
        <v>360.0</v>
      </c>
      <c r="N47" s="13">
        <v>29.398</v>
      </c>
      <c r="O47" s="12">
        <v>0</v>
      </c>
    </row>
    <row r="48" ht="20" customHeight="1">
      <c r="A48" s="6">
        <v>44</v>
      </c>
      <c r="B48" s="5" t="inlineStr">
        <is>
          <t>Bourns PEC11R</t>
        </is>
      </c>
      <c r="C48" s="5" t="inlineStr">
        <is>
          <t>bourns_X2_4.mat</t>
        </is>
      </c>
      <c r="D48" s="6" t="inlineStr">
        <is>
          <t>X2</t>
        </is>
      </c>
      <c r="E48" s="7">
        <v>2</v>
      </c>
      <c r="F48" s="7">
        <v>48.0</v>
      </c>
      <c r="G48" s="7">
        <v>0.0</v>
      </c>
      <c r="H48" s="7">
        <v>48.0</v>
      </c>
      <c r="I48" s="7">
        <v>48.0</v>
      </c>
      <c r="J48" s="8">
        <v>24.0</v>
      </c>
      <c r="K48" s="7">
        <v>24.0</v>
      </c>
      <c r="L48" s="9">
        <v>0.0</v>
      </c>
      <c r="M48" s="8">
        <v>360.0</v>
      </c>
      <c r="N48" s="8">
        <v>29.696</v>
      </c>
      <c r="O48" s="7">
        <v>0</v>
      </c>
    </row>
    <row r="49" ht="20" customHeight="1">
      <c r="A49" s="11">
        <v>45</v>
      </c>
      <c r="B49" s="10" t="inlineStr">
        <is>
          <t>Bourns PEC11R</t>
        </is>
      </c>
      <c r="C49" s="10" t="inlineStr">
        <is>
          <t>bourns_X2_5.mat</t>
        </is>
      </c>
      <c r="D49" s="11" t="inlineStr">
        <is>
          <t>X2</t>
        </is>
      </c>
      <c r="E49" s="12">
        <v>2</v>
      </c>
      <c r="F49" s="12">
        <v>48.0</v>
      </c>
      <c r="G49" s="12">
        <v>0.0</v>
      </c>
      <c r="H49" s="12">
        <v>48.0</v>
      </c>
      <c r="I49" s="12">
        <v>48.0</v>
      </c>
      <c r="J49" s="13">
        <v>24.0</v>
      </c>
      <c r="K49" s="12">
        <v>24.0</v>
      </c>
      <c r="L49" s="14">
        <v>0.0</v>
      </c>
      <c r="M49" s="13">
        <v>360.0</v>
      </c>
      <c r="N49" s="13">
        <v>29.409</v>
      </c>
      <c r="O49" s="12">
        <v>0</v>
      </c>
    </row>
    <row r="50" ht="20" customHeight="1">
      <c r="A50" s="6">
        <v>46</v>
      </c>
      <c r="B50" s="5" t="inlineStr">
        <is>
          <t>Bourns PEC11R</t>
        </is>
      </c>
      <c r="C50" s="5" t="inlineStr">
        <is>
          <t>bourns_X2_6.mat</t>
        </is>
      </c>
      <c r="D50" s="6" t="inlineStr">
        <is>
          <t>X2</t>
        </is>
      </c>
      <c r="E50" s="7">
        <v>2</v>
      </c>
      <c r="F50" s="7">
        <v>48.0</v>
      </c>
      <c r="G50" s="7">
        <v>0.0</v>
      </c>
      <c r="H50" s="7">
        <v>48.0</v>
      </c>
      <c r="I50" s="7">
        <v>48.0</v>
      </c>
      <c r="J50" s="8">
        <v>24.0</v>
      </c>
      <c r="K50" s="7">
        <v>24.0</v>
      </c>
      <c r="L50" s="9">
        <v>0.0</v>
      </c>
      <c r="M50" s="8">
        <v>360.0</v>
      </c>
      <c r="N50" s="8">
        <v>28.895</v>
      </c>
      <c r="O50" s="7">
        <v>0</v>
      </c>
    </row>
    <row r="51" ht="20" customHeight="1">
      <c r="A51" s="11">
        <v>47</v>
      </c>
      <c r="B51" s="10" t="inlineStr">
        <is>
          <t>Bourns PEC11R</t>
        </is>
      </c>
      <c r="C51" s="10" t="inlineStr">
        <is>
          <t>bourns_X2_7.mat</t>
        </is>
      </c>
      <c r="D51" s="11" t="inlineStr">
        <is>
          <t>X2</t>
        </is>
      </c>
      <c r="E51" s="12">
        <v>2</v>
      </c>
      <c r="F51" s="12">
        <v>48.0</v>
      </c>
      <c r="G51" s="12">
        <v>0.0</v>
      </c>
      <c r="H51" s="12">
        <v>48.0</v>
      </c>
      <c r="I51" s="12">
        <v>48.0</v>
      </c>
      <c r="J51" s="13">
        <v>24.0</v>
      </c>
      <c r="K51" s="12">
        <v>24.0</v>
      </c>
      <c r="L51" s="14">
        <v>0.0</v>
      </c>
      <c r="M51" s="13">
        <v>360.0</v>
      </c>
      <c r="N51" s="13">
        <v>29.182</v>
      </c>
      <c r="O51" s="12">
        <v>0</v>
      </c>
    </row>
    <row r="52" ht="20" customHeight="1">
      <c r="A52" s="6">
        <v>48</v>
      </c>
      <c r="B52" s="5" t="inlineStr">
        <is>
          <t>Bourns PEC11R</t>
        </is>
      </c>
      <c r="C52" s="5" t="inlineStr">
        <is>
          <t>bourns_X2_8.mat</t>
        </is>
      </c>
      <c r="D52" s="6" t="inlineStr">
        <is>
          <t>X2</t>
        </is>
      </c>
      <c r="E52" s="7">
        <v>2</v>
      </c>
      <c r="F52" s="7">
        <v>48.0</v>
      </c>
      <c r="G52" s="7">
        <v>0.0</v>
      </c>
      <c r="H52" s="7">
        <v>48.0</v>
      </c>
      <c r="I52" s="7">
        <v>48.0</v>
      </c>
      <c r="J52" s="8">
        <v>24.0</v>
      </c>
      <c r="K52" s="7">
        <v>24.0</v>
      </c>
      <c r="L52" s="9">
        <v>0.0</v>
      </c>
      <c r="M52" s="8">
        <v>360.0</v>
      </c>
      <c r="N52" s="8">
        <v>29.182</v>
      </c>
      <c r="O52" s="7">
        <v>0</v>
      </c>
    </row>
    <row r="53" ht="20" customHeight="1">
      <c r="A53" s="11">
        <v>49</v>
      </c>
      <c r="B53" s="10" t="inlineStr">
        <is>
          <t>Bourns PEC11R</t>
        </is>
      </c>
      <c r="C53" s="10" t="inlineStr">
        <is>
          <t>bourns_X2_9.mat</t>
        </is>
      </c>
      <c r="D53" s="11" t="inlineStr">
        <is>
          <t>X2</t>
        </is>
      </c>
      <c r="E53" s="12">
        <v>2</v>
      </c>
      <c r="F53" s="12">
        <v>48.0</v>
      </c>
      <c r="G53" s="12">
        <v>0.0</v>
      </c>
      <c r="H53" s="12">
        <v>48.0</v>
      </c>
      <c r="I53" s="12">
        <v>48.0</v>
      </c>
      <c r="J53" s="13">
        <v>24.0</v>
      </c>
      <c r="K53" s="12">
        <v>24.0</v>
      </c>
      <c r="L53" s="14">
        <v>0.0</v>
      </c>
      <c r="M53" s="13">
        <v>360.0</v>
      </c>
      <c r="N53" s="13">
        <v>29.181</v>
      </c>
      <c r="O53" s="12">
        <v>0</v>
      </c>
    </row>
    <row r="54" ht="20" customHeight="1">
      <c r="A54" s="6">
        <v>50</v>
      </c>
      <c r="B54" s="5" t="inlineStr">
        <is>
          <t>Bourns PEC11R</t>
        </is>
      </c>
      <c r="C54" s="5" t="inlineStr">
        <is>
          <t>bourns_X2_10.mat</t>
        </is>
      </c>
      <c r="D54" s="6" t="inlineStr">
        <is>
          <t>X2</t>
        </is>
      </c>
      <c r="E54" s="7">
        <v>2</v>
      </c>
      <c r="F54" s="7">
        <v>48.0</v>
      </c>
      <c r="G54" s="7">
        <v>0.0</v>
      </c>
      <c r="H54" s="7">
        <v>48.0</v>
      </c>
      <c r="I54" s="7">
        <v>48.0</v>
      </c>
      <c r="J54" s="8">
        <v>24.0</v>
      </c>
      <c r="K54" s="7">
        <v>24.0</v>
      </c>
      <c r="L54" s="9">
        <v>0.0</v>
      </c>
      <c r="M54" s="8">
        <v>360.0</v>
      </c>
      <c r="N54" s="8">
        <v>29.418</v>
      </c>
      <c r="O54" s="7">
        <v>0</v>
      </c>
    </row>
    <row r="55" ht="20" customHeight="1">
      <c r="A55" s="11">
        <v>51</v>
      </c>
      <c r="B55" s="10" t="inlineStr">
        <is>
          <t>Bourns PEC11R</t>
        </is>
      </c>
      <c r="C55" s="10" t="inlineStr">
        <is>
          <t>bourns_X4_1.mat</t>
        </is>
      </c>
      <c r="D55" s="11" t="inlineStr">
        <is>
          <t>X4</t>
        </is>
      </c>
      <c r="E55" s="12">
        <v>4</v>
      </c>
      <c r="F55" s="12">
        <v>96.0</v>
      </c>
      <c r="G55" s="12">
        <v>0.0</v>
      </c>
      <c r="H55" s="12">
        <v>96.0</v>
      </c>
      <c r="I55" s="12">
        <v>96.0</v>
      </c>
      <c r="J55" s="13">
        <v>24.0</v>
      </c>
      <c r="K55" s="12">
        <v>24.0</v>
      </c>
      <c r="L55" s="14">
        <v>0.0</v>
      </c>
      <c r="M55" s="13">
        <v>360.0</v>
      </c>
      <c r="N55" s="13">
        <v>31.215</v>
      </c>
      <c r="O55" s="12">
        <v>0</v>
      </c>
    </row>
    <row r="56" ht="20" customHeight="1">
      <c r="A56" s="6">
        <v>52</v>
      </c>
      <c r="B56" s="5" t="inlineStr">
        <is>
          <t>Bourns PEC11R</t>
        </is>
      </c>
      <c r="C56" s="5" t="inlineStr">
        <is>
          <t>bourns_X4_2.mat</t>
        </is>
      </c>
      <c r="D56" s="6" t="inlineStr">
        <is>
          <t>X4</t>
        </is>
      </c>
      <c r="E56" s="7">
        <v>4</v>
      </c>
      <c r="F56" s="7">
        <v>96.0</v>
      </c>
      <c r="G56" s="7">
        <v>0.0</v>
      </c>
      <c r="H56" s="7">
        <v>96.0</v>
      </c>
      <c r="I56" s="7">
        <v>96.0</v>
      </c>
      <c r="J56" s="8">
        <v>24.0</v>
      </c>
      <c r="K56" s="7">
        <v>24.0</v>
      </c>
      <c r="L56" s="9">
        <v>0.0</v>
      </c>
      <c r="M56" s="8">
        <v>360.0</v>
      </c>
      <c r="N56" s="8">
        <v>29.93</v>
      </c>
      <c r="O56" s="7">
        <v>0</v>
      </c>
    </row>
    <row r="57" ht="20" customHeight="1">
      <c r="A57" s="11">
        <v>53</v>
      </c>
      <c r="B57" s="10" t="inlineStr">
        <is>
          <t>Bourns PEC11R</t>
        </is>
      </c>
      <c r="C57" s="10" t="inlineStr">
        <is>
          <t>bourns_X4_3.mat</t>
        </is>
      </c>
      <c r="D57" s="11" t="inlineStr">
        <is>
          <t>X4</t>
        </is>
      </c>
      <c r="E57" s="12">
        <v>4</v>
      </c>
      <c r="F57" s="12">
        <v>96.0</v>
      </c>
      <c r="G57" s="12">
        <v>0.0</v>
      </c>
      <c r="H57" s="12">
        <v>96.0</v>
      </c>
      <c r="I57" s="12">
        <v>96.0</v>
      </c>
      <c r="J57" s="13">
        <v>24.0</v>
      </c>
      <c r="K57" s="12">
        <v>24.0</v>
      </c>
      <c r="L57" s="14">
        <v>0.0</v>
      </c>
      <c r="M57" s="13">
        <v>360.0</v>
      </c>
      <c r="N57" s="13">
        <v>30.952</v>
      </c>
      <c r="O57" s="12">
        <v>0</v>
      </c>
    </row>
    <row r="58" ht="20" customHeight="1">
      <c r="A58" s="6">
        <v>54</v>
      </c>
      <c r="B58" s="5" t="inlineStr">
        <is>
          <t>Bourns PEC11R</t>
        </is>
      </c>
      <c r="C58" s="5" t="inlineStr">
        <is>
          <t>bourns_X4_4.mat</t>
        </is>
      </c>
      <c r="D58" s="6" t="inlineStr">
        <is>
          <t>X4</t>
        </is>
      </c>
      <c r="E58" s="7">
        <v>4</v>
      </c>
      <c r="F58" s="7">
        <v>96.0</v>
      </c>
      <c r="G58" s="7">
        <v>0.0</v>
      </c>
      <c r="H58" s="7">
        <v>96.0</v>
      </c>
      <c r="I58" s="7">
        <v>96.0</v>
      </c>
      <c r="J58" s="8">
        <v>24.0</v>
      </c>
      <c r="K58" s="7">
        <v>24.0</v>
      </c>
      <c r="L58" s="9">
        <v>0.0</v>
      </c>
      <c r="M58" s="8">
        <v>360.0</v>
      </c>
      <c r="N58" s="8">
        <v>29.665</v>
      </c>
      <c r="O58" s="7">
        <v>0</v>
      </c>
    </row>
    <row r="59" ht="20" customHeight="1">
      <c r="A59" s="11">
        <v>55</v>
      </c>
      <c r="B59" s="10" t="inlineStr">
        <is>
          <t>Bourns PEC11R</t>
        </is>
      </c>
      <c r="C59" s="10" t="inlineStr">
        <is>
          <t>bourns_X4_5.mat</t>
        </is>
      </c>
      <c r="D59" s="11" t="inlineStr">
        <is>
          <t>X4</t>
        </is>
      </c>
      <c r="E59" s="12">
        <v>4</v>
      </c>
      <c r="F59" s="12">
        <v>96.0</v>
      </c>
      <c r="G59" s="12">
        <v>0.0</v>
      </c>
      <c r="H59" s="12">
        <v>96.0</v>
      </c>
      <c r="I59" s="12">
        <v>96.0</v>
      </c>
      <c r="J59" s="13">
        <v>24.0</v>
      </c>
      <c r="K59" s="12">
        <v>24.0</v>
      </c>
      <c r="L59" s="14">
        <v>0.0</v>
      </c>
      <c r="M59" s="13">
        <v>360.0</v>
      </c>
      <c r="N59" s="13">
        <v>29.929</v>
      </c>
      <c r="O59" s="12">
        <v>0</v>
      </c>
    </row>
    <row r="60" ht="20" customHeight="1">
      <c r="A60" s="6">
        <v>56</v>
      </c>
      <c r="B60" s="5" t="inlineStr">
        <is>
          <t>Bourns PEC11R</t>
        </is>
      </c>
      <c r="C60" s="5" t="inlineStr">
        <is>
          <t>bourns_X4_6.mat</t>
        </is>
      </c>
      <c r="D60" s="6" t="inlineStr">
        <is>
          <t>X4</t>
        </is>
      </c>
      <c r="E60" s="7">
        <v>4</v>
      </c>
      <c r="F60" s="7">
        <v>96.0</v>
      </c>
      <c r="G60" s="7">
        <v>0.0</v>
      </c>
      <c r="H60" s="7">
        <v>96.0</v>
      </c>
      <c r="I60" s="7">
        <v>96.0</v>
      </c>
      <c r="J60" s="8">
        <v>24.0</v>
      </c>
      <c r="K60" s="7">
        <v>24.0</v>
      </c>
      <c r="L60" s="9">
        <v>0.0</v>
      </c>
      <c r="M60" s="8">
        <v>360.0</v>
      </c>
      <c r="N60" s="8">
        <v>29.796</v>
      </c>
      <c r="O60" s="7">
        <v>0</v>
      </c>
    </row>
    <row r="61" ht="20" customHeight="1">
      <c r="A61" s="11">
        <v>57</v>
      </c>
      <c r="B61" s="10" t="inlineStr">
        <is>
          <t>Bourns PEC11R</t>
        </is>
      </c>
      <c r="C61" s="10" t="inlineStr">
        <is>
          <t>bourns_X4_7.mat</t>
        </is>
      </c>
      <c r="D61" s="11" t="inlineStr">
        <is>
          <t>X4</t>
        </is>
      </c>
      <c r="E61" s="12">
        <v>4</v>
      </c>
      <c r="F61" s="12">
        <v>96.0</v>
      </c>
      <c r="G61" s="12">
        <v>0.0</v>
      </c>
      <c r="H61" s="12">
        <v>96.0</v>
      </c>
      <c r="I61" s="12">
        <v>96.0</v>
      </c>
      <c r="J61" s="13">
        <v>24.0</v>
      </c>
      <c r="K61" s="12">
        <v>24.0</v>
      </c>
      <c r="L61" s="14">
        <v>0.0</v>
      </c>
      <c r="M61" s="13">
        <v>360.0</v>
      </c>
      <c r="N61" s="13">
        <v>29.69</v>
      </c>
      <c r="O61" s="12">
        <v>0</v>
      </c>
    </row>
    <row r="62" ht="20" customHeight="1">
      <c r="A62" s="6">
        <v>58</v>
      </c>
      <c r="B62" s="5" t="inlineStr">
        <is>
          <t>Bourns PEC11R</t>
        </is>
      </c>
      <c r="C62" s="5" t="inlineStr">
        <is>
          <t>bourns_X4_8.mat</t>
        </is>
      </c>
      <c r="D62" s="6" t="inlineStr">
        <is>
          <t>X4</t>
        </is>
      </c>
      <c r="E62" s="7">
        <v>4</v>
      </c>
      <c r="F62" s="7">
        <v>96.0</v>
      </c>
      <c r="G62" s="7">
        <v>0.0</v>
      </c>
      <c r="H62" s="7">
        <v>96.0</v>
      </c>
      <c r="I62" s="7">
        <v>96.0</v>
      </c>
      <c r="J62" s="8">
        <v>24.0</v>
      </c>
      <c r="K62" s="7">
        <v>24.0</v>
      </c>
      <c r="L62" s="9">
        <v>0.0</v>
      </c>
      <c r="M62" s="8">
        <v>360.0</v>
      </c>
      <c r="N62" s="8">
        <v>29.196</v>
      </c>
      <c r="O62" s="7">
        <v>0</v>
      </c>
    </row>
    <row r="63" ht="20" customHeight="1">
      <c r="A63" s="11">
        <v>59</v>
      </c>
      <c r="B63" s="10" t="inlineStr">
        <is>
          <t>Bourns PEC11R</t>
        </is>
      </c>
      <c r="C63" s="10" t="inlineStr">
        <is>
          <t>bourns_X4_9.mat</t>
        </is>
      </c>
      <c r="D63" s="11" t="inlineStr">
        <is>
          <t>X4</t>
        </is>
      </c>
      <c r="E63" s="12">
        <v>4</v>
      </c>
      <c r="F63" s="12">
        <v>96.0</v>
      </c>
      <c r="G63" s="12">
        <v>0.0</v>
      </c>
      <c r="H63" s="12">
        <v>96.0</v>
      </c>
      <c r="I63" s="12">
        <v>96.0</v>
      </c>
      <c r="J63" s="13">
        <v>24.0</v>
      </c>
      <c r="K63" s="12">
        <v>24.0</v>
      </c>
      <c r="L63" s="14">
        <v>0.0</v>
      </c>
      <c r="M63" s="13">
        <v>360.0</v>
      </c>
      <c r="N63" s="13">
        <v>29.697</v>
      </c>
      <c r="O63" s="12">
        <v>0</v>
      </c>
    </row>
    <row r="64" ht="20" customHeight="1">
      <c r="A64" s="6">
        <v>60</v>
      </c>
      <c r="B64" s="5" t="inlineStr">
        <is>
          <t>Bourns PEC11R</t>
        </is>
      </c>
      <c r="C64" s="5" t="inlineStr">
        <is>
          <t>bourns_X4_10.mat</t>
        </is>
      </c>
      <c r="D64" s="6" t="inlineStr">
        <is>
          <t>X4</t>
        </is>
      </c>
      <c r="E64" s="7">
        <v>4</v>
      </c>
      <c r="F64" s="7">
        <v>96.0</v>
      </c>
      <c r="G64" s="7">
        <v>0.0</v>
      </c>
      <c r="H64" s="7">
        <v>96.0</v>
      </c>
      <c r="I64" s="7">
        <v>96.0</v>
      </c>
      <c r="J64" s="8">
        <v>24.0</v>
      </c>
      <c r="K64" s="7">
        <v>24.0</v>
      </c>
      <c r="L64" s="9">
        <v>0.0</v>
      </c>
      <c r="M64" s="8">
        <v>360.0</v>
      </c>
      <c r="N64" s="8">
        <v>29.944</v>
      </c>
      <c r="O64" s="7">
        <v>0</v>
      </c>
    </row>
  </sheetData>
  <mergeCells count="2">
    <mergeCell ref="A1:O1"/>
    <mergeCell ref="A2:O2"/>
  </mergeCells>
</worksheet>
</file>