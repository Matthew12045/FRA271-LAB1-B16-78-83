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02012248468943"/>
          <y val="0.060185185185185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Sheet1!$C$2:$C$12</f>
              <numCache>
                <formatCode>General</formatCode>
                <ptCount val="11"/>
                <pt idx="0">
                  <v>652.6</v>
                </pt>
                <pt idx="1">
                  <v>862.5</v>
                </pt>
                <pt idx="2">
                  <v>1104.02</v>
                </pt>
                <pt idx="3">
                  <v>1343.87</v>
                </pt>
                <pt idx="4">
                  <v>1589.96</v>
                </pt>
                <pt idx="5">
                  <v>1821.27</v>
                </pt>
                <pt idx="6">
                  <v>2060.84</v>
                </pt>
                <pt idx="7">
                  <v>2270.8</v>
                </pt>
                <pt idx="8">
                  <v>2509.27</v>
                </pt>
                <pt idx="9">
                  <v>2742.83</v>
                </pt>
                <pt idx="10">
                  <v>2964.45</v>
                </pt>
              </numCache>
            </numRef>
          </xVal>
          <yVal>
            <numRef>
              <f>Sheet1!$D$2:$D$12</f>
              <numCache>
                <formatCode>General</formatCode>
                <ptCount val="11"/>
                <pt idx="0">
                  <v>0</v>
                </pt>
                <pt idx="1">
                  <v>988</v>
                </pt>
                <pt idx="2">
                  <v>2000</v>
                </pt>
                <pt idx="3">
                  <v>3016</v>
                </pt>
                <pt idx="4">
                  <v>3996</v>
                </pt>
                <pt idx="5">
                  <v>4992</v>
                </pt>
                <pt idx="6">
                  <v>5984</v>
                </pt>
                <pt idx="7">
                  <v>6914</v>
                </pt>
                <pt idx="8">
                  <v>7912</v>
                </pt>
                <pt idx="9">
                  <v>8883</v>
                </pt>
                <pt idx="10">
                  <v>9838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54008848"/>
        <axId val="1012695120"/>
      </scatterChart>
      <valAx>
        <axId val="11540088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12695120"/>
        <crosses val="autoZero"/>
        <crossBetween val="midCat"/>
      </valAx>
      <valAx>
        <axId val="1012695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400884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3396456692913385"/>
          <y val="0.0462962962962962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Sheet1!$J$2:$J$12</f>
              <numCache>
                <formatCode>General</formatCode>
                <ptCount val="11"/>
                <pt idx="0">
                  <v>0</v>
                </pt>
                <pt idx="1">
                  <v>996</v>
                </pt>
                <pt idx="2">
                  <v>1988</v>
                </pt>
                <pt idx="3">
                  <v>2918</v>
                </pt>
                <pt idx="4">
                  <v>3896</v>
                </pt>
                <pt idx="5">
                  <v>4895</v>
                </pt>
                <pt idx="6">
                  <v>5908</v>
                </pt>
                <pt idx="7">
                  <v>6879</v>
                </pt>
                <pt idx="8">
                  <v>7867</v>
                </pt>
                <pt idx="9">
                  <v>8883</v>
                </pt>
                <pt idx="10">
                  <v>9838</v>
                </pt>
              </numCache>
            </numRef>
          </xVal>
          <yVal>
            <numRef>
              <f>Sheet1!$K$2:$K$12</f>
              <numCache>
                <formatCode>General</formatCode>
                <ptCount val="11"/>
                <pt idx="0">
                  <v>620.98</v>
                </pt>
                <pt idx="1">
                  <v>861.6900000000001</v>
                </pt>
                <pt idx="2">
                  <v>1094.05</v>
                </pt>
                <pt idx="3">
                  <v>1312.81</v>
                </pt>
                <pt idx="4">
                  <v>1539.78</v>
                </pt>
                <pt idx="5">
                  <v>1779.9</v>
                </pt>
                <pt idx="6">
                  <v>2019.26</v>
                </pt>
                <pt idx="7">
                  <v>2248.6</v>
                </pt>
                <pt idx="8">
                  <v>2488.17</v>
                </pt>
                <pt idx="9">
                  <v>2717.27</v>
                </pt>
                <pt idx="10">
                  <v>2947.97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778242255"/>
        <axId val="1798055791"/>
      </scatterChart>
      <valAx>
        <axId val="1778242255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98055791"/>
        <crosses val="autoZero"/>
        <crossBetween val="midCat"/>
      </valAx>
      <valAx>
        <axId val="17980557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78242255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Sheet1!$C$19:$C$29</f>
              <numCache>
                <formatCode>General</formatCode>
                <ptCount val="11"/>
                <pt idx="0">
                  <v>0</v>
                </pt>
                <pt idx="1">
                  <v>993.3333333333334</v>
                </pt>
                <pt idx="2">
                  <v>1987.666666666667</v>
                </pt>
                <pt idx="3">
                  <v>2974.666666666667</v>
                </pt>
                <pt idx="4">
                  <v>3965</v>
                </pt>
                <pt idx="5">
                  <v>4959.333333333333</v>
                </pt>
                <pt idx="6">
                  <v>5951.333333333333</v>
                </pt>
                <pt idx="7">
                  <v>6918</v>
                </pt>
                <pt idx="8">
                  <v>7890</v>
                </pt>
                <pt idx="9">
                  <v>8884</v>
                </pt>
                <pt idx="10">
                  <v>9839</v>
                </pt>
              </numCache>
            </numRef>
          </xVal>
          <yVal>
            <numRef>
              <f>Sheet1!$D$19:$D$29</f>
              <numCache>
                <formatCode>General</formatCode>
                <ptCount val="11"/>
                <pt idx="0">
                  <v>634.5466666666666</v>
                </pt>
                <pt idx="1">
                  <v>863.65</v>
                </pt>
                <pt idx="2">
                  <v>1100.6</v>
                </pt>
                <pt idx="3">
                  <v>1333.536666666667</v>
                </pt>
                <pt idx="4">
                  <v>1568.806666666667</v>
                </pt>
                <pt idx="5">
                  <v>1807.036666666667</v>
                </pt>
                <pt idx="6">
                  <v>2040.616666666667</v>
                </pt>
                <pt idx="7">
                  <v>2268.516666666667</v>
                </pt>
                <pt idx="8">
                  <v>2499.816666666667</v>
                </pt>
                <pt idx="9">
                  <v>2736.42</v>
                </pt>
                <pt idx="10">
                  <v>2959.89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26820911"/>
        <axId val="1798026511"/>
      </scatterChart>
      <valAx>
        <axId val="1268209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98026511"/>
        <crosses val="autoZero"/>
        <crossBetween val="midCat"/>
      </valAx>
      <valAx>
        <axId val="1798026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820911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0</col>
      <colOff>144780</colOff>
      <row>38</row>
      <rowOff>179070</rowOff>
    </from>
    <to>
      <col>7</col>
      <colOff>449580</colOff>
      <row>53</row>
      <rowOff>179070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479611</colOff>
      <row>13</row>
      <rowOff>134470</rowOff>
    </from>
    <to>
      <col>25</col>
      <colOff>174811</colOff>
      <row>29</row>
      <rowOff>8965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192741</colOff>
      <row>14</row>
      <rowOff>161364</rowOff>
    </from>
    <to>
      <col>12</col>
      <colOff>497541</colOff>
      <row>30</row>
      <rowOff>35858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tabSelected="1" zoomScale="85" zoomScaleNormal="85" workbookViewId="0">
      <selection activeCell="O25" sqref="O25"/>
    </sheetView>
  </sheetViews>
  <sheetFormatPr baseColWidth="10" defaultColWidth="8.83203125" defaultRowHeight="15"/>
  <sheetData>
    <row r="1">
      <c r="A1" t="inlineStr">
        <is>
          <t>รอบ</t>
        </is>
      </c>
      <c r="B1" t="inlineStr">
        <is>
          <t>น้ำหนัก(g)</t>
        </is>
      </c>
      <c r="C1" t="inlineStr">
        <is>
          <t>mV</t>
        </is>
      </c>
      <c r="E1" t="inlineStr">
        <is>
          <t>รอบ</t>
        </is>
      </c>
      <c r="F1" t="inlineStr">
        <is>
          <t>น้ำหนัก(g)</t>
        </is>
      </c>
      <c r="G1" t="inlineStr">
        <is>
          <t>mV</t>
        </is>
      </c>
      <c r="I1" t="inlineStr">
        <is>
          <t>รอบ</t>
        </is>
      </c>
      <c r="J1" t="inlineStr">
        <is>
          <t>น้ำหนัก(g)</t>
        </is>
      </c>
      <c r="K1" t="inlineStr">
        <is>
          <t>mV</t>
        </is>
      </c>
      <c r="M1" t="inlineStr">
        <is>
          <t>น้ำหนัก(g)</t>
        </is>
      </c>
      <c r="N1" t="inlineStr">
        <is>
          <t>mV</t>
        </is>
      </c>
      <c r="R1" t="inlineStr">
        <is>
          <t>รอบ</t>
        </is>
      </c>
      <c r="S1" t="inlineStr">
        <is>
          <t>น้ำหนัก(g)</t>
        </is>
      </c>
      <c r="T1" t="inlineStr">
        <is>
          <t>mV</t>
        </is>
      </c>
      <c r="U1" t="inlineStr">
        <is>
          <t>kg</t>
        </is>
      </c>
      <c r="V1" t="inlineStr">
        <is>
          <t>diff</t>
        </is>
      </c>
    </row>
    <row r="2">
      <c r="A2" t="n">
        <v>1</v>
      </c>
      <c r="B2" t="n">
        <v>0</v>
      </c>
      <c r="C2" t="n">
        <v>627.91</v>
      </c>
      <c r="D2" t="n">
        <v>0</v>
      </c>
      <c r="E2" t="n">
        <v>2</v>
      </c>
      <c r="F2" t="n">
        <v>0</v>
      </c>
      <c r="G2" t="n">
        <v>628.62</v>
      </c>
      <c r="I2" t="n">
        <v>3</v>
      </c>
      <c r="J2" t="n">
        <v>0</v>
      </c>
      <c r="K2" t="n">
        <v>622.72</v>
      </c>
      <c r="M2">
        <f>AVERAGE(B2,F2,J2)</f>
        <v/>
      </c>
      <c r="N2">
        <f>AVERAGE(C2,G2,K2)</f>
        <v/>
      </c>
      <c r="P2" t="inlineStr">
        <is>
          <t>R = 127</t>
        </is>
      </c>
      <c r="R2" t="n">
        <v>4</v>
      </c>
      <c r="S2" t="n">
        <v>0</v>
      </c>
      <c r="T2" t="n">
        <v>626.25</v>
      </c>
      <c r="U2">
        <f>(T2-628.23)/237.3</f>
        <v/>
      </c>
      <c r="V2">
        <f>U2-(S2/1000)</f>
        <v/>
      </c>
    </row>
    <row r="3">
      <c r="B3" t="n">
        <v>988</v>
      </c>
      <c r="C3" t="n">
        <v>866.36</v>
      </c>
      <c r="D3" t="n">
        <v>988</v>
      </c>
      <c r="F3" t="n">
        <v>996</v>
      </c>
      <c r="G3" t="n">
        <v>867.13</v>
      </c>
      <c r="J3" t="n">
        <v>996</v>
      </c>
      <c r="K3" t="n">
        <v>859.35</v>
      </c>
      <c r="M3">
        <f>AVERAGE(B3,F3,J3)</f>
        <v/>
      </c>
      <c r="N3">
        <f>AVERAGE(C3,G3,K3)</f>
        <v/>
      </c>
      <c r="P3" t="inlineStr">
        <is>
          <t>G = 476.1948</t>
        </is>
      </c>
      <c r="S3" t="n">
        <v>996</v>
      </c>
      <c r="T3" t="n">
        <v>867.97</v>
      </c>
      <c r="U3">
        <f>(T3-628.23)/237.3</f>
        <v/>
      </c>
      <c r="V3">
        <f>U3-(S3/1000)</f>
        <v/>
      </c>
    </row>
    <row r="4">
      <c r="B4">
        <f>B3+1012</f>
        <v/>
      </c>
      <c r="C4" t="n">
        <v>1102.82</v>
      </c>
      <c r="D4">
        <f>D3+1012</f>
        <v/>
      </c>
      <c r="F4">
        <f>F3+979</f>
        <v/>
      </c>
      <c r="G4" t="n">
        <v>1099.23</v>
      </c>
      <c r="J4">
        <f>J3+992</f>
        <v/>
      </c>
      <c r="K4" t="n">
        <v>1095.34</v>
      </c>
      <c r="M4">
        <f>AVERAGE(B4,F4,J4)</f>
        <v/>
      </c>
      <c r="N4">
        <f>AVERAGE(C4,G4,K4)</f>
        <v/>
      </c>
      <c r="P4" t="inlineStr">
        <is>
          <t xml:space="preserve"> dV = 6.3mV</t>
        </is>
      </c>
      <c r="S4">
        <f>S3+995</f>
        <v/>
      </c>
      <c r="T4" t="n">
        <v>1110.74</v>
      </c>
      <c r="U4">
        <f>(T4-628.23)/237.3</f>
        <v/>
      </c>
      <c r="V4">
        <f>U4-(S4/1000)</f>
        <v/>
      </c>
    </row>
    <row r="5">
      <c r="B5">
        <f>B4+1016</f>
        <v/>
      </c>
      <c r="C5" t="n">
        <v>1349.67</v>
      </c>
      <c r="D5">
        <f>D4+1016</f>
        <v/>
      </c>
      <c r="F5">
        <f>F4+1015</f>
        <v/>
      </c>
      <c r="G5" t="n">
        <v>1341.37</v>
      </c>
      <c r="J5">
        <f>J4+930</f>
        <v/>
      </c>
      <c r="K5" t="n">
        <v>1311.19</v>
      </c>
      <c r="M5">
        <f>AVERAGE(B5,F5,J5)</f>
        <v/>
      </c>
      <c r="N5">
        <f>AVERAGE(C5,G5,K5)</f>
        <v/>
      </c>
      <c r="P5" t="inlineStr">
        <is>
          <t>V0 = 3</t>
        </is>
      </c>
      <c r="S5">
        <f>S4+949</f>
        <v/>
      </c>
      <c r="T5" t="n">
        <v>1339.77</v>
      </c>
      <c r="U5">
        <f>(T5-628.23)/237.3</f>
        <v/>
      </c>
      <c r="V5">
        <f>U5-(S5/1000)</f>
        <v/>
      </c>
    </row>
    <row r="6">
      <c r="B6">
        <f>B5+980</f>
        <v/>
      </c>
      <c r="C6" t="n">
        <v>1584.55</v>
      </c>
      <c r="D6">
        <f>D5+980</f>
        <v/>
      </c>
      <c r="F6">
        <f>F5+1013</f>
        <v/>
      </c>
      <c r="G6" t="n">
        <v>1579.16</v>
      </c>
      <c r="J6">
        <f>J5+978</f>
        <v/>
      </c>
      <c r="K6" t="n">
        <v>1541</v>
      </c>
      <c r="M6">
        <f>AVERAGE(B6,F6,J6)</f>
        <v/>
      </c>
      <c r="N6">
        <f>AVERAGE(C6,G6,K6)</f>
        <v/>
      </c>
      <c r="S6">
        <f>S5+1029</f>
        <v/>
      </c>
      <c r="T6" t="n">
        <v>1588.06</v>
      </c>
      <c r="U6">
        <f>(T6-628.23)/237.3</f>
        <v/>
      </c>
      <c r="V6">
        <f>U6-(S6/1000)</f>
        <v/>
      </c>
    </row>
    <row r="7">
      <c r="B7">
        <f>B6+996</f>
        <v/>
      </c>
      <c r="C7" t="n">
        <v>1819.74</v>
      </c>
      <c r="D7">
        <f>D6+996</f>
        <v/>
      </c>
      <c r="F7">
        <f>F6+988</f>
        <v/>
      </c>
      <c r="G7" t="n">
        <v>1823.27</v>
      </c>
      <c r="J7">
        <f>J6+999</f>
        <v/>
      </c>
      <c r="K7" t="n">
        <v>1777.9</v>
      </c>
      <c r="M7">
        <f>AVERAGE(B7,F7,J7)</f>
        <v/>
      </c>
      <c r="N7">
        <f>AVERAGE(C7,G7,K7)</f>
        <v/>
      </c>
      <c r="S7">
        <f>S6+933</f>
        <v/>
      </c>
      <c r="T7" t="n">
        <v>1814.99</v>
      </c>
      <c r="U7">
        <f>(T7-628.23)/237.3</f>
        <v/>
      </c>
      <c r="V7">
        <f>U7-(S7/1000)</f>
        <v/>
      </c>
    </row>
    <row r="8">
      <c r="B8">
        <f>B7+992</f>
        <v/>
      </c>
      <c r="C8" t="n">
        <v>2061.3</v>
      </c>
      <c r="D8">
        <f>D7+992</f>
        <v/>
      </c>
      <c r="F8">
        <f>F7+971</f>
        <v/>
      </c>
      <c r="G8" t="n">
        <v>2045.4</v>
      </c>
      <c r="J8">
        <f>J7+1013</f>
        <v/>
      </c>
      <c r="K8" t="n">
        <v>2019.82</v>
      </c>
      <c r="M8">
        <f>AVERAGE(B8,F8,J8)</f>
        <v/>
      </c>
      <c r="N8">
        <f>AVERAGE(C8,G8,K8)</f>
        <v/>
      </c>
      <c r="S8">
        <f>S7+915</f>
        <v/>
      </c>
      <c r="T8" t="n">
        <v>2036.27</v>
      </c>
      <c r="U8">
        <f>(T8-628.23)/237.3</f>
        <v/>
      </c>
      <c r="V8">
        <f>U8-(S8/1000)</f>
        <v/>
      </c>
    </row>
    <row r="9">
      <c r="B9">
        <f>B8+930</f>
        <v/>
      </c>
      <c r="C9" t="n">
        <v>2281.07</v>
      </c>
      <c r="D9">
        <f>D8+930</f>
        <v/>
      </c>
      <c r="F9">
        <f>F8+999</f>
        <v/>
      </c>
      <c r="G9" t="n">
        <v>2288.27</v>
      </c>
      <c r="J9">
        <f>J8+971</f>
        <v/>
      </c>
      <c r="K9" t="n">
        <v>2248.66</v>
      </c>
      <c r="M9">
        <f>AVERAGE(B9,F9,J9)</f>
        <v/>
      </c>
      <c r="N9">
        <f>AVERAGE(C9,G9,K9)</f>
        <v/>
      </c>
      <c r="S9">
        <f>S8+981</f>
        <v/>
      </c>
      <c r="T9" t="n">
        <v>2270.35</v>
      </c>
      <c r="U9">
        <f>(T9-628.23)/237.3</f>
        <v/>
      </c>
      <c r="V9">
        <f>U9-(S9/1000)</f>
        <v/>
      </c>
    </row>
    <row r="10">
      <c r="B10">
        <f>B9+998</f>
        <v/>
      </c>
      <c r="C10" t="n">
        <v>2512.88</v>
      </c>
      <c r="D10">
        <f>D9+998</f>
        <v/>
      </c>
      <c r="F10">
        <f>F9+930</f>
        <v/>
      </c>
      <c r="G10" t="n">
        <v>2507.46</v>
      </c>
      <c r="J10">
        <f>J9+988</f>
        <v/>
      </c>
      <c r="K10" t="n">
        <v>2486.94</v>
      </c>
      <c r="M10">
        <f>AVERAGE(B10,F10,J10)</f>
        <v/>
      </c>
      <c r="N10">
        <f>AVERAGE(C10,G10,K10)</f>
        <v/>
      </c>
      <c r="S10">
        <f>S9+973</f>
        <v/>
      </c>
      <c r="T10" t="n">
        <v>2505.77</v>
      </c>
      <c r="U10">
        <f>(T10-628.23)/237.3</f>
        <v/>
      </c>
      <c r="V10">
        <f>U10-(S10/1000)</f>
        <v/>
      </c>
    </row>
    <row r="11">
      <c r="B11">
        <f>B10+971</f>
        <v/>
      </c>
      <c r="C11" t="n">
        <v>2744.4</v>
      </c>
      <c r="D11">
        <f>D10+971</f>
        <v/>
      </c>
      <c r="F11">
        <f>F10+995</f>
        <v/>
      </c>
      <c r="G11" t="n">
        <v>2744.45</v>
      </c>
      <c r="J11">
        <f>J10+1016</f>
        <v/>
      </c>
      <c r="K11" t="n">
        <v>2719.64</v>
      </c>
      <c r="M11">
        <f>AVERAGE(B11,F11,J11)</f>
        <v/>
      </c>
      <c r="N11">
        <f>AVERAGE(C11,G11,K11)</f>
        <v/>
      </c>
      <c r="S11">
        <f>S10+985</f>
        <v/>
      </c>
      <c r="T11" t="n">
        <v>2744.86</v>
      </c>
      <c r="U11">
        <f>(T11-628.23)/237.3</f>
        <v/>
      </c>
      <c r="V11">
        <f>U11-(S11/1000)</f>
        <v/>
      </c>
    </row>
    <row r="12">
      <c r="B12">
        <f>B11+955</f>
        <v/>
      </c>
      <c r="C12" t="n">
        <v>2960.68</v>
      </c>
      <c r="D12">
        <f>D11+955</f>
        <v/>
      </c>
      <c r="F12">
        <f>F11+955</f>
        <v/>
      </c>
      <c r="G12" t="n">
        <v>2969.87</v>
      </c>
      <c r="J12">
        <f>J11+955</f>
        <v/>
      </c>
      <c r="K12" t="n">
        <v>2943.18</v>
      </c>
      <c r="M12">
        <f>AVERAGE(B12,F12,J12)</f>
        <v/>
      </c>
      <c r="N12">
        <f>AVERAGE(C12,G12,K12)</f>
        <v/>
      </c>
      <c r="S12">
        <f>S11+971</f>
        <v/>
      </c>
      <c r="T12" t="n">
        <v>2978.21</v>
      </c>
      <c r="U12">
        <f>(T12-628.23)/237.3</f>
        <v/>
      </c>
      <c r="V12">
        <f>U12-(S12/1000)</f>
        <v/>
      </c>
    </row>
    <row r="13">
      <c r="V13">
        <f>U13-(S13/1000)</f>
        <v/>
      </c>
    </row>
    <row r="14">
      <c r="V14">
        <f>U14-(S14/1000)</f>
        <v/>
      </c>
    </row>
    <row r="19">
      <c r="C19">
        <f>AVERAGE(B2,F2,J2)</f>
        <v/>
      </c>
      <c r="D19">
        <f>AVERAGE(C2,G2,K2)</f>
        <v/>
      </c>
    </row>
    <row r="20">
      <c r="C20">
        <f>AVERAGE(B3,F3,J3)</f>
        <v/>
      </c>
      <c r="D20">
        <f>AVERAGE(C3,G3,K3)</f>
        <v/>
      </c>
    </row>
    <row r="21">
      <c r="C21">
        <f>AVERAGE(B4,F4,J4)</f>
        <v/>
      </c>
      <c r="D21">
        <f>AVERAGE(C4,G4,K4)</f>
        <v/>
      </c>
    </row>
    <row r="22">
      <c r="C22">
        <f>AVERAGE(B5,F5,J5)</f>
        <v/>
      </c>
      <c r="D22">
        <f>AVERAGE(C5,G5,K5)</f>
        <v/>
      </c>
    </row>
    <row r="23">
      <c r="C23">
        <f>AVERAGE(B6,F6,J6)</f>
        <v/>
      </c>
      <c r="D23">
        <f>AVERAGE(C6,G6,K6)</f>
        <v/>
      </c>
    </row>
    <row r="24">
      <c r="C24">
        <f>AVERAGE(B7,F7,J7)</f>
        <v/>
      </c>
      <c r="D24">
        <f>AVERAGE(C7,G7,K7)</f>
        <v/>
      </c>
      <c r="O24" t="inlineStr">
        <is>
          <t>x=(y-630.82)/0.2368</t>
        </is>
      </c>
    </row>
    <row r="25">
      <c r="C25">
        <f>AVERAGE(B8,F8,J8)</f>
        <v/>
      </c>
      <c r="D25">
        <f>AVERAGE(C8,G8,K8)</f>
        <v/>
      </c>
    </row>
    <row r="26">
      <c r="C26">
        <f>AVERAGE(B9,F9,J9)</f>
        <v/>
      </c>
      <c r="D26">
        <f>AVERAGE(C9,G9,K9)</f>
        <v/>
      </c>
    </row>
    <row r="27">
      <c r="C27">
        <f>AVERAGE(B10,F10,J10)</f>
        <v/>
      </c>
      <c r="D27">
        <f>AVERAGE(C10,G10,K10)</f>
        <v/>
      </c>
    </row>
    <row r="28">
      <c r="C28">
        <f>AVERAGE(B11,F11,J11)</f>
        <v/>
      </c>
      <c r="D28">
        <f>AVERAGE(C11,G11,K11)</f>
        <v/>
      </c>
    </row>
    <row r="29">
      <c r="C29">
        <f>AVERAGE(B12,F12,J12)</f>
        <v/>
      </c>
      <c r="D29">
        <f>AVERAGE(C12,G12,K12)</f>
        <v/>
      </c>
    </row>
    <row r="35">
      <c r="H35" t="inlineStr">
        <is>
          <t>scale factor</t>
        </is>
      </c>
      <c r="J35">
        <f>(0.2366+0.2376+0.2418)/3</f>
        <v/>
      </c>
      <c r="M35" t="inlineStr">
        <is>
          <t>X0</t>
        </is>
      </c>
      <c r="N35">
        <f>(652.386+630.06+620.98)/3</f>
        <v/>
      </c>
    </row>
    <row r="36">
      <c r="N36">
        <f>((652.6+630.06+620.98)/3)/1000</f>
        <v/>
      </c>
    </row>
    <row r="39">
      <c r="L39" t="inlineStr">
        <is>
          <t>y=m(X-X0)</t>
        </is>
      </c>
    </row>
    <row r="41">
      <c r="L41">
        <f>J35*((K7/1000)-N36)</f>
        <v/>
      </c>
      <c r="N41">
        <f>(4895-L41)</f>
        <v/>
      </c>
    </row>
    <row r="44">
      <c r="I44">
        <f>4.226*(1779.9-634.4)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moltol juangsanthia</dc:creator>
  <dcterms:created xmlns:dcterms="http://purl.org/dc/terms/" xmlns:xsi="http://www.w3.org/2001/XMLSchema-instance" xsi:type="dcterms:W3CDTF">2026-10-02T08:50:10Z</dcterms:created>
  <dcterms:modified xmlns:dcterms="http://purl.org/dc/terms/" xmlns:xsi="http://www.w3.org/2001/XMLSchema-instance" xsi:type="dcterms:W3CDTF">2026-10-04T06:21:02Z</dcterms:modified>
  <cp:lastModifiedBy>thakorn sowa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0x0101006D3E7CB5AC2E9D4B938901579C8D70D5</vt:lpwstr>
  </property>
</Properties>
</file>